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NamHoang\Workspace\ChuongTrinhHoc\1_DATN\DA_Documents\"/>
    </mc:Choice>
  </mc:AlternateContent>
  <xr:revisionPtr revIDLastSave="0" documentId="13_ncr:1_{169D68DF-201A-45D3-A013-CD5455EB6855}" xr6:coauthVersionLast="36" xr6:coauthVersionMax="36" xr10:uidLastSave="{00000000-0000-0000-0000-000000000000}"/>
  <bookViews>
    <workbookView xWindow="-108" yWindow="-108" windowWidth="23256" windowHeight="12456" activeTab="1" xr2:uid="{00000000-000D-0000-FFFF-FFFF00000000}"/>
  </bookViews>
  <sheets>
    <sheet name="Sprint 1" sheetId="1" r:id="rId1"/>
    <sheet name="Sprint 2" sheetId="6" r:id="rId2"/>
    <sheet name="Total" sheetId="4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6" l="1"/>
  <c r="E11" i="6"/>
  <c r="E10" i="6"/>
  <c r="E9" i="6"/>
  <c r="E8" i="6"/>
  <c r="D12" i="6"/>
  <c r="D11" i="6"/>
  <c r="D10" i="6"/>
  <c r="D9" i="6"/>
  <c r="D8" i="6"/>
  <c r="S98" i="6"/>
  <c r="S97" i="6"/>
  <c r="R98" i="6"/>
  <c r="R97" i="6"/>
  <c r="X98" i="6"/>
  <c r="X97" i="6"/>
  <c r="L98" i="6"/>
  <c r="L97" i="6"/>
  <c r="E12" i="1"/>
  <c r="E11" i="1"/>
  <c r="E10" i="1"/>
  <c r="E9" i="1"/>
  <c r="E8" i="1"/>
  <c r="D12" i="1"/>
  <c r="D11" i="1"/>
  <c r="D10" i="1"/>
  <c r="D9" i="1"/>
  <c r="D8" i="1"/>
  <c r="G97" i="1"/>
  <c r="P98" i="1"/>
  <c r="P97" i="1"/>
  <c r="K98" i="1"/>
  <c r="K97" i="1"/>
  <c r="D13" i="6" l="1"/>
  <c r="K5" i="4"/>
  <c r="J5" i="4"/>
  <c r="I5" i="4"/>
  <c r="H5" i="4"/>
  <c r="G5" i="4"/>
  <c r="F5" i="4"/>
  <c r="E5" i="4"/>
  <c r="D5" i="4"/>
  <c r="B5" i="4"/>
  <c r="C5" i="4"/>
  <c r="AE98" i="6"/>
  <c r="AE97" i="6"/>
  <c r="AD98" i="6"/>
  <c r="AD97" i="6"/>
  <c r="AC98" i="6"/>
  <c r="AC97" i="6"/>
  <c r="AA98" i="6"/>
  <c r="AA97" i="6"/>
  <c r="Z98" i="6"/>
  <c r="Z97" i="6"/>
  <c r="Y98" i="6"/>
  <c r="Y97" i="6"/>
  <c r="T98" i="6"/>
  <c r="T97" i="6"/>
  <c r="Q98" i="6"/>
  <c r="Q97" i="6"/>
  <c r="P98" i="6"/>
  <c r="P97" i="6"/>
  <c r="O98" i="6"/>
  <c r="O97" i="6"/>
  <c r="M98" i="6"/>
  <c r="M97" i="6"/>
  <c r="K98" i="6"/>
  <c r="K97" i="6"/>
  <c r="AC98" i="1"/>
  <c r="AC97" i="1"/>
  <c r="AA98" i="1"/>
  <c r="AA97" i="1"/>
  <c r="Y98" i="1"/>
  <c r="Y97" i="1"/>
  <c r="W98" i="1"/>
  <c r="W97" i="1"/>
  <c r="T98" i="1"/>
  <c r="T97" i="1"/>
  <c r="R98" i="1"/>
  <c r="R97" i="1"/>
  <c r="O98" i="1"/>
  <c r="O97" i="1"/>
  <c r="N98" i="1"/>
  <c r="N97" i="1"/>
  <c r="J98" i="1"/>
  <c r="J97" i="1"/>
  <c r="M98" i="1"/>
  <c r="I98" i="6"/>
  <c r="Q97" i="1" l="1"/>
  <c r="AF98" i="6" l="1"/>
  <c r="AB98" i="6"/>
  <c r="W98" i="6"/>
  <c r="V98" i="6"/>
  <c r="U98" i="6"/>
  <c r="N98" i="6"/>
  <c r="J98" i="6"/>
  <c r="G98" i="6"/>
  <c r="AF97" i="6"/>
  <c r="AB97" i="6"/>
  <c r="W97" i="6"/>
  <c r="V97" i="6"/>
  <c r="U97" i="6"/>
  <c r="N97" i="6"/>
  <c r="J97" i="6"/>
  <c r="I97" i="6"/>
  <c r="G97" i="6"/>
  <c r="Z98" i="1"/>
  <c r="Z97" i="1"/>
  <c r="S98" i="1"/>
  <c r="L98" i="1"/>
  <c r="I97" i="1"/>
  <c r="L97" i="1"/>
  <c r="M97" i="1"/>
  <c r="S97" i="1"/>
  <c r="U97" i="1"/>
  <c r="V97" i="1"/>
  <c r="X97" i="1"/>
  <c r="AB97" i="1"/>
  <c r="AD97" i="1"/>
  <c r="I98" i="1"/>
  <c r="Q98" i="1"/>
  <c r="U98" i="1"/>
  <c r="V98" i="1"/>
  <c r="X98" i="1"/>
  <c r="AB98" i="1"/>
  <c r="AD98" i="1"/>
  <c r="E13" i="6" l="1"/>
  <c r="G98" i="1" l="1"/>
  <c r="C4" i="4" l="1"/>
  <c r="AE98" i="1" l="1"/>
  <c r="AE97" i="1"/>
  <c r="J4" i="4" l="1"/>
  <c r="H4" i="4"/>
  <c r="K4" i="4"/>
  <c r="I4" i="4"/>
  <c r="G4" i="4"/>
  <c r="E4" i="4"/>
  <c r="F4" i="4"/>
  <c r="D4" i="4"/>
  <c r="B4" i="4"/>
  <c r="F6" i="4" l="1"/>
  <c r="D6" i="4"/>
  <c r="K6" i="4"/>
  <c r="B6" i="4"/>
  <c r="C6" i="4"/>
  <c r="G6" i="4"/>
  <c r="J6" i="4"/>
  <c r="E6" i="4"/>
  <c r="I6" i="4"/>
  <c r="H6" i="4"/>
  <c r="E13" i="1"/>
  <c r="D13" i="1"/>
  <c r="F10" i="4" l="1"/>
  <c r="F11" i="4"/>
</calcChain>
</file>

<file path=xl/sharedStrings.xml><?xml version="1.0" encoding="utf-8"?>
<sst xmlns="http://schemas.openxmlformats.org/spreadsheetml/2006/main" count="363" uniqueCount="185">
  <si>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</si>
  <si>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</si>
  <si>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</si>
  <si>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</si>
  <si>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</si>
  <si>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</si>
  <si>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</si>
  <si>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</si>
  <si>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Task name</t>
  </si>
  <si>
    <t>Responsible Member</t>
  </si>
  <si>
    <t>Thực tế</t>
  </si>
  <si>
    <t>Tổng</t>
  </si>
  <si>
    <t>Sprint 2</t>
  </si>
  <si>
    <t>SPRINT 2 REPORT</t>
  </si>
  <si>
    <t>Ước tính</t>
  </si>
  <si>
    <t>Thành viên</t>
  </si>
  <si>
    <t>SPRINT BACKLOG REPORT</t>
  </si>
  <si>
    <t>FINAL TOTAL</t>
  </si>
  <si>
    <t>Trước thời hạn</t>
  </si>
  <si>
    <t>Muộn</t>
  </si>
  <si>
    <t>Kết thúc đúng hạn</t>
  </si>
  <si>
    <t>Xây dựng hệ thống quản lý nhà hàng theo mô hình tương tác số đa kênh</t>
  </si>
  <si>
    <t>Ngô Kim Hoàng Nam</t>
  </si>
  <si>
    <t>Dương Bá Hoàng Ngọc</t>
  </si>
  <si>
    <t>Văn Đức Khiêm</t>
  </si>
  <si>
    <t>Nguyễn Đức Hiếu</t>
  </si>
  <si>
    <t>Nguyễn Thành Lâm</t>
  </si>
  <si>
    <t>Giao diện Đăng nhập (Nhân viên &amp; Khách)</t>
  </si>
  <si>
    <t>Giao diện Đăng ký tài khoản khách hàng</t>
  </si>
  <si>
    <t>Giao diện Quản lý danh mục món ăn</t>
  </si>
  <si>
    <t>Giao diện Quản lý món ăn</t>
  </si>
  <si>
    <t>Giao diện Quản lý bàn</t>
  </si>
  <si>
    <t>Giao diện Quét mã QR để truy cập menu</t>
  </si>
  <si>
    <t>Giao diện Xem menu tại bàn</t>
  </si>
  <si>
    <t>Giao diện Gọi món tại bàn</t>
  </si>
  <si>
    <t>Giao diện Xem danh sách món đã gọi</t>
  </si>
  <si>
    <t>Giao diện Khởi tạo đơn hàng cho bàn</t>
  </si>
  <si>
    <t>Giao diện Chuyển đơn hàng tới bếp</t>
  </si>
  <si>
    <t>Giao diện Xem danh sách món cần nấu</t>
  </si>
  <si>
    <t>Giao diện Cập nhật trạng thái món ăn</t>
  </si>
  <si>
    <t>Giao diện Thông báo món đã hoàn thành</t>
  </si>
  <si>
    <t>Giao diện Cập nhật trạng thái phục vụ món</t>
  </si>
  <si>
    <t>Nam</t>
  </si>
  <si>
    <t>Giao diện Quản lý đơn hàng (Staff)</t>
  </si>
  <si>
    <t>Ngọc</t>
  </si>
  <si>
    <t>Hiếu</t>
  </si>
  <si>
    <t>Lâm</t>
  </si>
  <si>
    <t>Khiêm</t>
  </si>
  <si>
    <t>Đăng nhập (Nhân viên &amp; Khách)</t>
  </si>
  <si>
    <t>Đăng ký tài khoản khách hàng</t>
  </si>
  <si>
    <t>Quản lý danh mục món ăn</t>
  </si>
  <si>
    <t>Quản lý món ăn</t>
  </si>
  <si>
    <t>Quản lý bàn</t>
  </si>
  <si>
    <t>Quét mã QR để truy cập menu</t>
  </si>
  <si>
    <t>Xem menu tại bàn</t>
  </si>
  <si>
    <t>Gọi món tại bàn</t>
  </si>
  <si>
    <t>Xem danh sách món đã gọi</t>
  </si>
  <si>
    <t>Khởi tạo đơn hàng cho bàn</t>
  </si>
  <si>
    <t>Chuyển đơn hàng tới bếp</t>
  </si>
  <si>
    <t>Xem danh sách món cần nấu</t>
  </si>
  <si>
    <t>Cập nhật trạng thái món ăn</t>
  </si>
  <si>
    <t>Thông báo món đã hoàn thành</t>
  </si>
  <si>
    <t>Cập nhật trạng thái phục vụ món</t>
  </si>
  <si>
    <t>Quản lý đơn hàng (Staff)</t>
  </si>
  <si>
    <t>Tối ưu UI/UX (Gọi món &amp; Dashboard bếp)</t>
  </si>
  <si>
    <t>Thiết kế UI/UX S1</t>
  </si>
  <si>
    <t>Lập trình Front-end S1</t>
  </si>
  <si>
    <t>Lập trình Back-end S1</t>
  </si>
  <si>
    <t>Tối ưu API &amp; truy vấn cơ sở dữ liệu</t>
  </si>
  <si>
    <t>Tích hợp luồng MVP</t>
  </si>
  <si>
    <t>Kết nối Front-end &amp; Back-end (Auth, Menu, Table)</t>
  </si>
  <si>
    <t>Tích hợp luồng Đẩy đơn hàng tới bếp</t>
  </si>
  <si>
    <t>Tích hợp Dashboard bếp (Xem món cần nấu &amp; cập nhật trạng thái)</t>
  </si>
  <si>
    <t>Tích hợp quản lý đơn hàng tổng (Staff view)</t>
  </si>
  <si>
    <r>
      <t xml:space="preserve">Tích hợp luồng Quét QR </t>
    </r>
    <r>
      <rPr>
        <b/>
        <sz val="13"/>
        <color theme="1"/>
        <rFont val="Times New Roman"/>
        <family val="1"/>
      </rPr>
      <t>→</t>
    </r>
    <r>
      <rPr>
        <sz val="13"/>
        <color theme="1"/>
        <rFont val="Times New Roman"/>
        <family val="1"/>
      </rPr>
      <t xml:space="preserve"> Xem menu tại bàn</t>
    </r>
  </si>
  <si>
    <t>Tích hợp luồng Gọi món → Tạo đơn hàng</t>
  </si>
  <si>
    <t>Ngọc, Hiếu, Lâm</t>
  </si>
  <si>
    <t>Nam, Hiếu, Lâm</t>
  </si>
  <si>
    <t>Nam, Lâm</t>
  </si>
  <si>
    <t>Khiêm, Lâm</t>
  </si>
  <si>
    <t>Nam, Khiêm</t>
  </si>
  <si>
    <t>Testing &amp; Bug fix S1</t>
  </si>
  <si>
    <t>Kiểm thử luồng Đăng nhập &amp; phân quyền người dùng</t>
  </si>
  <si>
    <t>Kiểm thử Dashboard bếp (món cần nấu &amp; trạng thái)</t>
  </si>
  <si>
    <t>Fix bug luồng nghiệp vụ chính (Order &amp; Kitchen)</t>
  </si>
  <si>
    <t>Kiểm thử tổng thể toàn hệ thống (End-to-End)</t>
  </si>
  <si>
    <t>Nam, Khiêm, Lâm</t>
  </si>
  <si>
    <t>Sprint 1 Review &amp; Retrospective</t>
  </si>
  <si>
    <t>Sprint 1 Review (Demo MVP &amp; nhận phản hồi)</t>
  </si>
  <si>
    <t>Sprint 1 Retrospective (Đánh giá &amp; cải tiến quy trình)</t>
  </si>
  <si>
    <t>All Team</t>
  </si>
  <si>
    <t>Tích hợp thông báo món hoàn thành → phục vụ</t>
  </si>
  <si>
    <t>Kiểm thử luồng Quét QR → Xem menu tại bàn</t>
  </si>
  <si>
    <t>Kiểm thử luồng Gọi món → Tạo đơn hàng</t>
  </si>
  <si>
    <t>Kiểm thử luồng Đẩy đơn → Bếp xử lý</t>
  </si>
  <si>
    <t>Sprint Planning 2</t>
  </si>
  <si>
    <t>Họp kế hoạch Sprint 2</t>
  </si>
  <si>
    <t>Phân bổ 16 PB (AI, Stripe, Stats)</t>
  </si>
  <si>
    <t>Thiết kế UI/UX S2</t>
  </si>
  <si>
    <t>Giao diện Thanh toán online (Stripe)</t>
  </si>
  <si>
    <t>Giao diện Thanh toán hóa đơn (Tại quầy)</t>
  </si>
  <si>
    <t>Giao diện AI Chatbot hỗ trợ (Gemini)</t>
  </si>
  <si>
    <t>Giao diện Chat với nhân viên (Socket.io)</t>
  </si>
  <si>
    <t>Giao diện Đặt bàn</t>
  </si>
  <si>
    <t>Giao diện Quản lý danh sách đặt bàn</t>
  </si>
  <si>
    <t>Giao diện Quên mật khẩu</t>
  </si>
  <si>
    <t>Giao diện Đổi mật khẩu</t>
  </si>
  <si>
    <t>Giao diện Đăng xuất</t>
  </si>
  <si>
    <t>Giao diện Quản lý tài khoản cá nhân</t>
  </si>
  <si>
    <t>Giao diện Quản lý tài khoản hệ thống</t>
  </si>
  <si>
    <t>Giao diện Tìm kiếm món ăn</t>
  </si>
  <si>
    <t>Giao diện Xem chi tiết món ăn</t>
  </si>
  <si>
    <t>Giao diện Quản lý mã giảm giá</t>
  </si>
  <si>
    <t>Giao diện Xem khuyến mãi</t>
  </si>
  <si>
    <t>Giao diện Báo cáo thống kê</t>
  </si>
  <si>
    <t>Phát triển Module Thanh toán &amp; Đặt bàn</t>
  </si>
  <si>
    <t>Thiết kế API &amp; Database (Payment &amp; Booking)</t>
  </si>
  <si>
    <t>Xây dựng Payment Service với Stripe (Online Payment Flow)</t>
  </si>
  <si>
    <t>Xử lý Webhook Stripe &amp; bảo mật thanh toán</t>
  </si>
  <si>
    <t>Phát triển chức năng Đặt bàn (FE &amp; BE)</t>
  </si>
  <si>
    <t>Tích hợp Stripe Payment (Online Payment Flow)</t>
  </si>
  <si>
    <t>Phát triển Quản lý danh sách đặt bàn (FE &amp; BE)</t>
  </si>
  <si>
    <t>Tích hợp Thanh toán hóa đơn tại quầy (Cashier)</t>
  </si>
  <si>
    <t>Tích hợp Payment với Order System</t>
  </si>
  <si>
    <t>Phát triển Module AI &amp; Real-time</t>
  </si>
  <si>
    <t>Thiết kế kiến trúc hệ thống Chat &amp; AI (Socket &amp; Gemini API)</t>
  </si>
  <si>
    <t>Phát triển Chat với nhân viên (Socket.io - FE &amp; BE)</t>
  </si>
  <si>
    <t>Xây dựng hệ thống real-time messaging (connection, room, event)</t>
  </si>
  <si>
    <t>Tích hợp AI Chatbot (Gemini API)</t>
  </si>
  <si>
    <t>Xây dựng logic xử lý hội thoại (context, history, fallback)</t>
  </si>
  <si>
    <t>Tích hợp AI vào hệ thống chat (Chatbot &amp; Human support)</t>
  </si>
  <si>
    <t>Xử lý UI/UX chat (hiển thị tin nhắn, loading, typing)</t>
  </si>
  <si>
    <t>Tối ưu hiệu năng &amp; xử lý đồng thời (concurrent users)</t>
  </si>
  <si>
    <t>Ngọc, Hiếu</t>
  </si>
  <si>
    <t>Phát triển Module Tài khoản &amp; Trải nghiệm người dùng</t>
  </si>
  <si>
    <t>Setup service xác thực nâng cao (email/OTP reset)</t>
  </si>
  <si>
    <t>Phát triển Quên mật khẩu (FE &amp; BE)</t>
  </si>
  <si>
    <t>Phát triển Quản lý tài khoản hệ thống (FE &amp; BE)</t>
  </si>
  <si>
    <t>Phát triển Quản lý tài khoản cá nhân (FE &amp; BE)</t>
  </si>
  <si>
    <t>Phát triển Đăng xuất (FE &amp; BE)</t>
  </si>
  <si>
    <t>Phát triển Đổi mật khẩu (FE &amp; BE)</t>
  </si>
  <si>
    <t>Phát triển Tìm kiếm món ăn (FE &amp; BE)</t>
  </si>
  <si>
    <t>Phát triển Xem chi tiết món ăn (FE &amp; BE)</t>
  </si>
  <si>
    <t>Tích hợp với hệ thống Auth Sprint 1</t>
  </si>
  <si>
    <t>Phát triển Module Quản trị &amp; Thống kê</t>
  </si>
  <si>
    <t>Thiết kế API &amp; Database cho thống kê (orders, revenue, users)</t>
  </si>
  <si>
    <t>Xây dựng logic tổng hợp dữ liệu (doanh thu, số đơn, món bán chạy)</t>
  </si>
  <si>
    <t>Phát triển Dashboard thống kê (FE - charts, cards, filters)</t>
  </si>
  <si>
    <t>Tích hợp API thống kê vào Dashboard (FE &amp; BE)</t>
  </si>
  <si>
    <t>Xây dựng chức năng lọc dữ liệu (theo ngày, tháng, năm)</t>
  </si>
  <si>
    <t>Phát triển quản lý mã giảm giá (CRUD - Admin)</t>
  </si>
  <si>
    <t>Tích hợp mã giảm giá vào hệ thống Order/Payment</t>
  </si>
  <si>
    <t>Xử lý validate &amp; business rules (hạn dùng, số lượng, điều kiện áp dụng)</t>
  </si>
  <si>
    <t>Tối ưu truy vấn &amp; hiệu năng (aggregation, indexing MongoDB)</t>
  </si>
  <si>
    <t>Xem khuyến mãi (User view - FE &amp; BE)</t>
  </si>
  <si>
    <t>Nam, Hiếu</t>
  </si>
  <si>
    <t>Kiểm thử hệ thống &amp; Tích hợp</t>
  </si>
  <si>
    <t>Tích hợp toàn bộ hệ thống (Order, Payment, AI, Admin)</t>
  </si>
  <si>
    <t>Kiểm thử luồng đặt bàn &amp; quản lý đặt bàn</t>
  </si>
  <si>
    <t>Kiểm thử tích hợp thanh toán (Cashier &amp; Stripe)</t>
  </si>
  <si>
    <t>Kiểm thử luồng áp dụng mã giảm giá</t>
  </si>
  <si>
    <t>Kiểm thử hệ thống Chat (User &amp; Staff &amp; AI)</t>
  </si>
  <si>
    <t>Kiểm thử phân quyền hệ thống (Admin / Staff / User)</t>
  </si>
  <si>
    <t>Kiểm thử Dashboard &amp; thống kê (data accuracy)</t>
  </si>
  <si>
    <t>Kiểm thử UI/UX toàn hệ thống (responsive, loading, error)</t>
  </si>
  <si>
    <t>Phát hiện &amp; sửa lỗi (bug fixing &amp; regression testing)</t>
  </si>
  <si>
    <t>Kiểm thử luồng đặt món → thanh toán → hoàn tất đơn</t>
  </si>
  <si>
    <t>Sprint 2 Review &amp; Retrospective</t>
  </si>
  <si>
    <t>Sprint 2 Review (Demo hệ thống hoàn chỉnh &amp; nhận phản hồi)</t>
  </si>
  <si>
    <t>Sprint 2 Retrospective (Đánh giá &amp; cải tiến quy trình)</t>
  </si>
  <si>
    <t>Sprint Planning 1</t>
  </si>
  <si>
    <t>Họp kế hoạch Sprint 1</t>
  </si>
  <si>
    <t>Phân bổ 16 PB nghiệp vụ lõi</t>
  </si>
  <si>
    <t>Ngọc, Khiêm</t>
  </si>
  <si>
    <t>Nam, Ngọc</t>
  </si>
  <si>
    <t>Khiêm, Hiếu</t>
  </si>
  <si>
    <t>Ngọc, Khiêm, Lâm</t>
  </si>
  <si>
    <t>Nam, Khiêm, Hiếu</t>
  </si>
  <si>
    <t>Hiếu, Lâm</t>
  </si>
  <si>
    <t>Ngọc, Lâm</t>
  </si>
  <si>
    <t>Nam, Ngọc, Hiếu</t>
  </si>
  <si>
    <t>Khiêm, Hiếu, Lâm</t>
  </si>
  <si>
    <t>Nam, Ngọc, Lâm</t>
  </si>
  <si>
    <t>Nam, Ngọc, Khiêm, Lâm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</si>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</sst>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2" borderId="3" xfId="0" applyFont="1" applyFill="1" applyBorder="1"/>
    <xf numFmtId="0" fontId="1" fillId="3" borderId="5" xfId="0" applyFont="1" applyFill="1" applyBorder="1"/>
    <xf numFmtId="0" fontId="1" fillId="4" borderId="7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  <xf numFmtId="164" fontId="2" fillId="0" borderId="1" xfId="0" applyNumberFormat="1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2" fillId="8" borderId="8" xfId="0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vertical="center"/>
    </xf>
    <xf numFmtId="0" fontId="1" fillId="9" borderId="14" xfId="0" applyFont="1" applyFill="1" applyBorder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left" vertical="center"/>
    </xf>
    <xf numFmtId="0" fontId="1" fillId="9" borderId="1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FFFF"/>
      <color rgb="FFCCCCFF"/>
      <color rgb="FFFFCCCC"/>
      <color rgb="FFFF99CC"/>
      <color rgb="FFFF99FF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  <c:pt idx="17">
                  <c:v>46120</c:v>
                </c:pt>
                <c:pt idx="18">
                  <c:v>46121</c:v>
                </c:pt>
                <c:pt idx="19">
                  <c:v>46122</c:v>
                </c:pt>
                <c:pt idx="20">
                  <c:v>46123</c:v>
                </c:pt>
                <c:pt idx="21">
                  <c:v>46124</c:v>
                </c:pt>
                <c:pt idx="22">
                  <c:v>46125</c:v>
                </c:pt>
              </c:numCache>
            </c:numRef>
          </c:cat>
          <c:val>
            <c:numRef>
              <c:f>'Sprint 1'!$I$97:$AE$97</c:f>
              <c:numCache>
                <c:formatCode>General</c:formatCode>
                <c:ptCount val="23"/>
                <c:pt idx="0">
                  <c:v>400</c:v>
                </c:pt>
                <c:pt idx="1">
                  <c:v>369</c:v>
                </c:pt>
                <c:pt idx="2">
                  <c:v>352</c:v>
                </c:pt>
                <c:pt idx="3">
                  <c:v>326</c:v>
                </c:pt>
                <c:pt idx="4">
                  <c:v>295</c:v>
                </c:pt>
                <c:pt idx="5">
                  <c:v>260</c:v>
                </c:pt>
                <c:pt idx="6">
                  <c:v>224</c:v>
                </c:pt>
                <c:pt idx="7">
                  <c:v>192</c:v>
                </c:pt>
                <c:pt idx="8">
                  <c:v>162</c:v>
                </c:pt>
                <c:pt idx="9">
                  <c:v>142</c:v>
                </c:pt>
                <c:pt idx="10">
                  <c:v>129</c:v>
                </c:pt>
                <c:pt idx="11">
                  <c:v>123</c:v>
                </c:pt>
                <c:pt idx="12">
                  <c:v>110</c:v>
                </c:pt>
                <c:pt idx="13">
                  <c:v>97</c:v>
                </c:pt>
                <c:pt idx="14">
                  <c:v>82</c:v>
                </c:pt>
                <c:pt idx="15">
                  <c:v>69</c:v>
                </c:pt>
                <c:pt idx="16">
                  <c:v>57</c:v>
                </c:pt>
                <c:pt idx="17">
                  <c:v>38</c:v>
                </c:pt>
                <c:pt idx="18">
                  <c:v>24</c:v>
                </c:pt>
                <c:pt idx="19">
                  <c:v>18</c:v>
                </c:pt>
                <c:pt idx="20">
                  <c:v>16</c:v>
                </c:pt>
                <c:pt idx="21">
                  <c:v>10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  <c:pt idx="17">
                  <c:v>46120</c:v>
                </c:pt>
                <c:pt idx="18">
                  <c:v>46121</c:v>
                </c:pt>
                <c:pt idx="19">
                  <c:v>46122</c:v>
                </c:pt>
                <c:pt idx="20">
                  <c:v>46123</c:v>
                </c:pt>
                <c:pt idx="21">
                  <c:v>46124</c:v>
                </c:pt>
                <c:pt idx="22">
                  <c:v>46125</c:v>
                </c:pt>
              </c:numCache>
            </c:numRef>
          </c:cat>
          <c:val>
            <c:numRef>
              <c:f>'Sprint 1'!$I$98:$AE$98</c:f>
              <c:numCache>
                <c:formatCode>General</c:formatCode>
                <c:ptCount val="23"/>
                <c:pt idx="0">
                  <c:v>400</c:v>
                </c:pt>
                <c:pt idx="1">
                  <c:v>370</c:v>
                </c:pt>
                <c:pt idx="2">
                  <c:v>352</c:v>
                </c:pt>
                <c:pt idx="3">
                  <c:v>326</c:v>
                </c:pt>
                <c:pt idx="4">
                  <c:v>295</c:v>
                </c:pt>
                <c:pt idx="5">
                  <c:v>261</c:v>
                </c:pt>
                <c:pt idx="6">
                  <c:v>221</c:v>
                </c:pt>
                <c:pt idx="7">
                  <c:v>190</c:v>
                </c:pt>
                <c:pt idx="8">
                  <c:v>162</c:v>
                </c:pt>
                <c:pt idx="9">
                  <c:v>141</c:v>
                </c:pt>
                <c:pt idx="10">
                  <c:v>129</c:v>
                </c:pt>
                <c:pt idx="11">
                  <c:v>119</c:v>
                </c:pt>
                <c:pt idx="12">
                  <c:v>110</c:v>
                </c:pt>
                <c:pt idx="13">
                  <c:v>97</c:v>
                </c:pt>
                <c:pt idx="14">
                  <c:v>81</c:v>
                </c:pt>
                <c:pt idx="15">
                  <c:v>69</c:v>
                </c:pt>
                <c:pt idx="16">
                  <c:v>55</c:v>
                </c:pt>
                <c:pt idx="17">
                  <c:v>38</c:v>
                </c:pt>
                <c:pt idx="18">
                  <c:v>26</c:v>
                </c:pt>
                <c:pt idx="19">
                  <c:v>18</c:v>
                </c:pt>
                <c:pt idx="20">
                  <c:v>13</c:v>
                </c:pt>
                <c:pt idx="21">
                  <c:v>10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1'!$G$97:$AE$97</c:f>
              <c:numCache>
                <c:formatCode>General</c:formatCode>
                <c:ptCount val="25"/>
                <c:pt idx="0">
                  <c:v>412</c:v>
                </c:pt>
                <c:pt idx="2">
                  <c:v>400</c:v>
                </c:pt>
                <c:pt idx="3">
                  <c:v>369</c:v>
                </c:pt>
                <c:pt idx="4">
                  <c:v>352</c:v>
                </c:pt>
                <c:pt idx="5">
                  <c:v>326</c:v>
                </c:pt>
                <c:pt idx="6">
                  <c:v>295</c:v>
                </c:pt>
                <c:pt idx="7">
                  <c:v>260</c:v>
                </c:pt>
                <c:pt idx="8">
                  <c:v>224</c:v>
                </c:pt>
                <c:pt idx="9">
                  <c:v>192</c:v>
                </c:pt>
                <c:pt idx="10">
                  <c:v>162</c:v>
                </c:pt>
                <c:pt idx="11">
                  <c:v>142</c:v>
                </c:pt>
                <c:pt idx="12">
                  <c:v>129</c:v>
                </c:pt>
                <c:pt idx="13">
                  <c:v>123</c:v>
                </c:pt>
                <c:pt idx="14">
                  <c:v>110</c:v>
                </c:pt>
                <c:pt idx="15">
                  <c:v>97</c:v>
                </c:pt>
                <c:pt idx="16">
                  <c:v>82</c:v>
                </c:pt>
                <c:pt idx="17">
                  <c:v>69</c:v>
                </c:pt>
                <c:pt idx="18">
                  <c:v>57</c:v>
                </c:pt>
                <c:pt idx="19">
                  <c:v>38</c:v>
                </c:pt>
                <c:pt idx="20">
                  <c:v>24</c:v>
                </c:pt>
                <c:pt idx="21">
                  <c:v>18</c:v>
                </c:pt>
                <c:pt idx="22">
                  <c:v>16</c:v>
                </c:pt>
                <c:pt idx="23">
                  <c:v>10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1'!$G$98:$AE$98</c:f>
              <c:numCache>
                <c:formatCode>General</c:formatCode>
                <c:ptCount val="25"/>
                <c:pt idx="0">
                  <c:v>400</c:v>
                </c:pt>
                <c:pt idx="2">
                  <c:v>400</c:v>
                </c:pt>
                <c:pt idx="3">
                  <c:v>370</c:v>
                </c:pt>
                <c:pt idx="4">
                  <c:v>352</c:v>
                </c:pt>
                <c:pt idx="5">
                  <c:v>326</c:v>
                </c:pt>
                <c:pt idx="6">
                  <c:v>295</c:v>
                </c:pt>
                <c:pt idx="7">
                  <c:v>261</c:v>
                </c:pt>
                <c:pt idx="8">
                  <c:v>221</c:v>
                </c:pt>
                <c:pt idx="9">
                  <c:v>190</c:v>
                </c:pt>
                <c:pt idx="10">
                  <c:v>162</c:v>
                </c:pt>
                <c:pt idx="11">
                  <c:v>141</c:v>
                </c:pt>
                <c:pt idx="12">
                  <c:v>129</c:v>
                </c:pt>
                <c:pt idx="13">
                  <c:v>119</c:v>
                </c:pt>
                <c:pt idx="14">
                  <c:v>110</c:v>
                </c:pt>
                <c:pt idx="15">
                  <c:v>97</c:v>
                </c:pt>
                <c:pt idx="16">
                  <c:v>81</c:v>
                </c:pt>
                <c:pt idx="17">
                  <c:v>69</c:v>
                </c:pt>
                <c:pt idx="18">
                  <c:v>55</c:v>
                </c:pt>
                <c:pt idx="19">
                  <c:v>38</c:v>
                </c:pt>
                <c:pt idx="20">
                  <c:v>26</c:v>
                </c:pt>
                <c:pt idx="21">
                  <c:v>18</c:v>
                </c:pt>
                <c:pt idx="22">
                  <c:v>13</c:v>
                </c:pt>
                <c:pt idx="23">
                  <c:v>10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2'!$I$15:$AF$15</c:f>
              <c:numCache>
                <c:formatCode>dd/mm</c:formatCode>
                <c:ptCount val="2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  <c:pt idx="4">
                  <c:v>46130</c:v>
                </c:pt>
                <c:pt idx="5">
                  <c:v>46131</c:v>
                </c:pt>
                <c:pt idx="6">
                  <c:v>46132</c:v>
                </c:pt>
                <c:pt idx="7">
                  <c:v>46133</c:v>
                </c:pt>
                <c:pt idx="8">
                  <c:v>46134</c:v>
                </c:pt>
                <c:pt idx="9">
                  <c:v>46135</c:v>
                </c:pt>
                <c:pt idx="10">
                  <c:v>46136</c:v>
                </c:pt>
                <c:pt idx="11">
                  <c:v>46137</c:v>
                </c:pt>
                <c:pt idx="12">
                  <c:v>46138</c:v>
                </c:pt>
                <c:pt idx="13">
                  <c:v>46139</c:v>
                </c:pt>
                <c:pt idx="14">
                  <c:v>46140</c:v>
                </c:pt>
                <c:pt idx="15">
                  <c:v>46141</c:v>
                </c:pt>
                <c:pt idx="16">
                  <c:v>46142</c:v>
                </c:pt>
                <c:pt idx="17">
                  <c:v>46143</c:v>
                </c:pt>
                <c:pt idx="18">
                  <c:v>46144</c:v>
                </c:pt>
                <c:pt idx="19">
                  <c:v>46145</c:v>
                </c:pt>
                <c:pt idx="20">
                  <c:v>46146</c:v>
                </c:pt>
                <c:pt idx="21">
                  <c:v>46147</c:v>
                </c:pt>
                <c:pt idx="22">
                  <c:v>46148</c:v>
                </c:pt>
                <c:pt idx="23">
                  <c:v>46149</c:v>
                </c:pt>
              </c:numCache>
            </c:numRef>
          </c:cat>
          <c:val>
            <c:numRef>
              <c:f>'Sprint 2'!$I$97:$AF$97</c:f>
              <c:numCache>
                <c:formatCode>General</c:formatCode>
                <c:ptCount val="24"/>
                <c:pt idx="0">
                  <c:v>450</c:v>
                </c:pt>
                <c:pt idx="1">
                  <c:v>426</c:v>
                </c:pt>
                <c:pt idx="2">
                  <c:v>415</c:v>
                </c:pt>
                <c:pt idx="3">
                  <c:v>388</c:v>
                </c:pt>
                <c:pt idx="4">
                  <c:v>370</c:v>
                </c:pt>
                <c:pt idx="5">
                  <c:v>343</c:v>
                </c:pt>
                <c:pt idx="6">
                  <c:v>327</c:v>
                </c:pt>
                <c:pt idx="7">
                  <c:v>295</c:v>
                </c:pt>
                <c:pt idx="8">
                  <c:v>271</c:v>
                </c:pt>
                <c:pt idx="9">
                  <c:v>252</c:v>
                </c:pt>
                <c:pt idx="10">
                  <c:v>238</c:v>
                </c:pt>
                <c:pt idx="11">
                  <c:v>219</c:v>
                </c:pt>
                <c:pt idx="12">
                  <c:v>201</c:v>
                </c:pt>
                <c:pt idx="13">
                  <c:v>182</c:v>
                </c:pt>
                <c:pt idx="14">
                  <c:v>167</c:v>
                </c:pt>
                <c:pt idx="15">
                  <c:v>147</c:v>
                </c:pt>
                <c:pt idx="16">
                  <c:v>125</c:v>
                </c:pt>
                <c:pt idx="17">
                  <c:v>106</c:v>
                </c:pt>
                <c:pt idx="18">
                  <c:v>85</c:v>
                </c:pt>
                <c:pt idx="19">
                  <c:v>52</c:v>
                </c:pt>
                <c:pt idx="20">
                  <c:v>27</c:v>
                </c:pt>
                <c:pt idx="21">
                  <c:v>15</c:v>
                </c:pt>
                <c:pt idx="22">
                  <c:v>11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5-4A3A-9C0A-5E8061BEB26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2'!$I$15:$AF$15</c:f>
              <c:numCache>
                <c:formatCode>dd/mm</c:formatCode>
                <c:ptCount val="2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  <c:pt idx="4">
                  <c:v>46130</c:v>
                </c:pt>
                <c:pt idx="5">
                  <c:v>46131</c:v>
                </c:pt>
                <c:pt idx="6">
                  <c:v>46132</c:v>
                </c:pt>
                <c:pt idx="7">
                  <c:v>46133</c:v>
                </c:pt>
                <c:pt idx="8">
                  <c:v>46134</c:v>
                </c:pt>
                <c:pt idx="9">
                  <c:v>46135</c:v>
                </c:pt>
                <c:pt idx="10">
                  <c:v>46136</c:v>
                </c:pt>
                <c:pt idx="11">
                  <c:v>46137</c:v>
                </c:pt>
                <c:pt idx="12">
                  <c:v>46138</c:v>
                </c:pt>
                <c:pt idx="13">
                  <c:v>46139</c:v>
                </c:pt>
                <c:pt idx="14">
                  <c:v>46140</c:v>
                </c:pt>
                <c:pt idx="15">
                  <c:v>46141</c:v>
                </c:pt>
                <c:pt idx="16">
                  <c:v>46142</c:v>
                </c:pt>
                <c:pt idx="17">
                  <c:v>46143</c:v>
                </c:pt>
                <c:pt idx="18">
                  <c:v>46144</c:v>
                </c:pt>
                <c:pt idx="19">
                  <c:v>46145</c:v>
                </c:pt>
                <c:pt idx="20">
                  <c:v>46146</c:v>
                </c:pt>
                <c:pt idx="21">
                  <c:v>46147</c:v>
                </c:pt>
                <c:pt idx="22">
                  <c:v>46148</c:v>
                </c:pt>
                <c:pt idx="23">
                  <c:v>46149</c:v>
                </c:pt>
              </c:numCache>
            </c:numRef>
          </c:cat>
          <c:val>
            <c:numRef>
              <c:f>'Sprint 2'!$I$98:$AF$98</c:f>
              <c:numCache>
                <c:formatCode>General</c:formatCode>
                <c:ptCount val="24"/>
                <c:pt idx="0">
                  <c:v>450</c:v>
                </c:pt>
                <c:pt idx="1">
                  <c:v>426</c:v>
                </c:pt>
                <c:pt idx="2">
                  <c:v>413</c:v>
                </c:pt>
                <c:pt idx="3">
                  <c:v>388</c:v>
                </c:pt>
                <c:pt idx="4">
                  <c:v>366</c:v>
                </c:pt>
                <c:pt idx="5">
                  <c:v>343</c:v>
                </c:pt>
                <c:pt idx="6">
                  <c:v>325</c:v>
                </c:pt>
                <c:pt idx="7">
                  <c:v>297</c:v>
                </c:pt>
                <c:pt idx="8">
                  <c:v>269</c:v>
                </c:pt>
                <c:pt idx="9">
                  <c:v>252</c:v>
                </c:pt>
                <c:pt idx="10">
                  <c:v>236</c:v>
                </c:pt>
                <c:pt idx="11">
                  <c:v>217</c:v>
                </c:pt>
                <c:pt idx="12">
                  <c:v>201</c:v>
                </c:pt>
                <c:pt idx="13">
                  <c:v>182</c:v>
                </c:pt>
                <c:pt idx="14">
                  <c:v>167</c:v>
                </c:pt>
                <c:pt idx="15">
                  <c:v>147</c:v>
                </c:pt>
                <c:pt idx="16">
                  <c:v>126</c:v>
                </c:pt>
                <c:pt idx="17">
                  <c:v>105</c:v>
                </c:pt>
                <c:pt idx="18">
                  <c:v>84</c:v>
                </c:pt>
                <c:pt idx="19">
                  <c:v>52</c:v>
                </c:pt>
                <c:pt idx="20">
                  <c:v>29</c:v>
                </c:pt>
                <c:pt idx="21">
                  <c:v>14</c:v>
                </c:pt>
                <c:pt idx="22">
                  <c:v>10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5-4A3A-9C0A-5E8061BEB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2'!$G$97:$AF$97</c:f>
              <c:numCache>
                <c:formatCode>General</c:formatCode>
                <c:ptCount val="26"/>
                <c:pt idx="0">
                  <c:v>463</c:v>
                </c:pt>
                <c:pt idx="2">
                  <c:v>450</c:v>
                </c:pt>
                <c:pt idx="3">
                  <c:v>426</c:v>
                </c:pt>
                <c:pt idx="4">
                  <c:v>415</c:v>
                </c:pt>
                <c:pt idx="5">
                  <c:v>388</c:v>
                </c:pt>
                <c:pt idx="6">
                  <c:v>370</c:v>
                </c:pt>
                <c:pt idx="7">
                  <c:v>343</c:v>
                </c:pt>
                <c:pt idx="8">
                  <c:v>327</c:v>
                </c:pt>
                <c:pt idx="9">
                  <c:v>295</c:v>
                </c:pt>
                <c:pt idx="10">
                  <c:v>271</c:v>
                </c:pt>
                <c:pt idx="11">
                  <c:v>252</c:v>
                </c:pt>
                <c:pt idx="12">
                  <c:v>238</c:v>
                </c:pt>
                <c:pt idx="13">
                  <c:v>219</c:v>
                </c:pt>
                <c:pt idx="14">
                  <c:v>201</c:v>
                </c:pt>
                <c:pt idx="15">
                  <c:v>182</c:v>
                </c:pt>
                <c:pt idx="16">
                  <c:v>167</c:v>
                </c:pt>
                <c:pt idx="17">
                  <c:v>147</c:v>
                </c:pt>
                <c:pt idx="18">
                  <c:v>125</c:v>
                </c:pt>
                <c:pt idx="19">
                  <c:v>106</c:v>
                </c:pt>
                <c:pt idx="20">
                  <c:v>85</c:v>
                </c:pt>
                <c:pt idx="21">
                  <c:v>52</c:v>
                </c:pt>
                <c:pt idx="22">
                  <c:v>27</c:v>
                </c:pt>
                <c:pt idx="23">
                  <c:v>15</c:v>
                </c:pt>
                <c:pt idx="24">
                  <c:v>11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7-4D1D-ABEE-131F31BB0E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2'!$G$98:$AF$98</c:f>
              <c:numCache>
                <c:formatCode>General</c:formatCode>
                <c:ptCount val="26"/>
                <c:pt idx="0">
                  <c:v>450</c:v>
                </c:pt>
                <c:pt idx="2">
                  <c:v>450</c:v>
                </c:pt>
                <c:pt idx="3">
                  <c:v>426</c:v>
                </c:pt>
                <c:pt idx="4">
                  <c:v>413</c:v>
                </c:pt>
                <c:pt idx="5">
                  <c:v>388</c:v>
                </c:pt>
                <c:pt idx="6">
                  <c:v>366</c:v>
                </c:pt>
                <c:pt idx="7">
                  <c:v>343</c:v>
                </c:pt>
                <c:pt idx="8">
                  <c:v>325</c:v>
                </c:pt>
                <c:pt idx="9">
                  <c:v>297</c:v>
                </c:pt>
                <c:pt idx="10">
                  <c:v>269</c:v>
                </c:pt>
                <c:pt idx="11">
                  <c:v>252</c:v>
                </c:pt>
                <c:pt idx="12">
                  <c:v>236</c:v>
                </c:pt>
                <c:pt idx="13">
                  <c:v>217</c:v>
                </c:pt>
                <c:pt idx="14">
                  <c:v>201</c:v>
                </c:pt>
                <c:pt idx="15">
                  <c:v>182</c:v>
                </c:pt>
                <c:pt idx="16">
                  <c:v>167</c:v>
                </c:pt>
                <c:pt idx="17">
                  <c:v>147</c:v>
                </c:pt>
                <c:pt idx="18">
                  <c:v>126</c:v>
                </c:pt>
                <c:pt idx="19">
                  <c:v>105</c:v>
                </c:pt>
                <c:pt idx="20">
                  <c:v>84</c:v>
                </c:pt>
                <c:pt idx="21">
                  <c:v>52</c:v>
                </c:pt>
                <c:pt idx="22">
                  <c:v>29</c:v>
                </c:pt>
                <c:pt idx="23">
                  <c:v>14</c:v>
                </c:pt>
                <c:pt idx="24">
                  <c:v>10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7-4D1D-ABEE-131F31BB0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99</xdr:row>
      <xdr:rowOff>57149</xdr:rowOff>
    </xdr:from>
    <xdr:to>
      <xdr:col>18</xdr:col>
      <xdr:colOff>285750</xdr:colOff>
      <xdr:row>131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101</xdr:row>
      <xdr:rowOff>29936</xdr:rowOff>
    </xdr:from>
    <xdr:to>
      <xdr:col>16</xdr:col>
      <xdr:colOff>326571</xdr:colOff>
      <xdr:row>114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99</xdr:row>
      <xdr:rowOff>57149</xdr:rowOff>
    </xdr:from>
    <xdr:to>
      <xdr:col>18</xdr:col>
      <xdr:colOff>285750</xdr:colOff>
      <xdr:row>131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6361A-6F3F-4879-8801-A805018EA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101</xdr:row>
      <xdr:rowOff>29936</xdr:rowOff>
    </xdr:from>
    <xdr:to>
      <xdr:col>16</xdr:col>
      <xdr:colOff>326571</xdr:colOff>
      <xdr:row>114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2CE16-CB17-40E2-BCCA-B32AF57D4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8"/>
  <sheetViews>
    <sheetView zoomScale="70" zoomScaleNormal="70" workbookViewId="0">
      <selection activeCell="C15" sqref="C15:D15"/>
    </sheetView>
  </sheetViews>
  <sheetFormatPr defaultColWidth="9.109375" defaultRowHeight="16.8" x14ac:dyDescent="0.3"/>
  <cols>
    <col min="1" max="1" width="16" style="1" customWidth="1"/>
    <col min="2" max="2" width="26.44140625" style="1" customWidth="1"/>
    <col min="3" max="3" width="55.44140625" style="1" customWidth="1"/>
    <col min="4" max="5" width="11.21875" style="1" customWidth="1"/>
    <col min="6" max="6" width="20.5546875" style="1" customWidth="1"/>
    <col min="7" max="31" width="6.5546875" style="18" customWidth="1"/>
    <col min="32" max="16384" width="9.109375" style="1"/>
  </cols>
  <sheetData>
    <row r="1" spans="1:31" ht="43.2" customHeight="1" thickBot="1" x14ac:dyDescent="0.35">
      <c r="A1" s="65" t="s">
        <v>3</v>
      </c>
      <c r="B1" s="65"/>
      <c r="C1" s="9" t="s">
        <v>21</v>
      </c>
      <c r="E1" s="2"/>
      <c r="F1" s="31" t="s">
        <v>20</v>
      </c>
    </row>
    <row r="2" spans="1:31" ht="20.399999999999999" customHeight="1" thickBot="1" x14ac:dyDescent="0.35">
      <c r="A2" s="65" t="s">
        <v>2</v>
      </c>
      <c r="B2" s="65"/>
      <c r="C2" s="23" t="s">
        <v>4</v>
      </c>
      <c r="E2" s="3"/>
      <c r="F2" s="32" t="s">
        <v>19</v>
      </c>
    </row>
    <row r="3" spans="1:31" ht="20.399999999999999" customHeight="1" thickBot="1" x14ac:dyDescent="0.35">
      <c r="A3" s="65" t="s">
        <v>1</v>
      </c>
      <c r="B3" s="65"/>
      <c r="C3" s="30">
        <v>46103</v>
      </c>
      <c r="E3" s="4"/>
      <c r="F3" s="33" t="s">
        <v>18</v>
      </c>
    </row>
    <row r="4" spans="1:31" ht="20.399999999999999" customHeight="1" thickBot="1" x14ac:dyDescent="0.35">
      <c r="A4" s="65" t="s">
        <v>0</v>
      </c>
      <c r="B4" s="65"/>
      <c r="C4" s="30">
        <v>46125</v>
      </c>
    </row>
    <row r="5" spans="1:31" ht="20.399999999999999" customHeight="1" thickBot="1" x14ac:dyDescent="0.35"/>
    <row r="6" spans="1:31" ht="20.399999999999999" customHeight="1" thickBot="1" x14ac:dyDescent="0.35">
      <c r="B6" s="68" t="s">
        <v>5</v>
      </c>
      <c r="C6" s="68"/>
      <c r="D6" s="68"/>
      <c r="E6" s="68"/>
    </row>
    <row r="7" spans="1:31" ht="20.399999999999999" customHeight="1" thickBot="1" x14ac:dyDescent="0.35">
      <c r="B7" s="11" t="s">
        <v>6</v>
      </c>
      <c r="C7" s="11" t="s">
        <v>15</v>
      </c>
      <c r="D7" s="11" t="s">
        <v>10</v>
      </c>
      <c r="E7" s="11" t="s">
        <v>14</v>
      </c>
    </row>
    <row r="8" spans="1:31" ht="20.399999999999999" customHeight="1" thickBot="1" x14ac:dyDescent="0.35">
      <c r="B8" s="12">
        <v>1</v>
      </c>
      <c r="C8" s="10" t="s">
        <v>22</v>
      </c>
      <c r="D8" s="26">
        <f ca="1">SUMIF($E$16:$F$96,"Nam",$G$16:$G$96)+SUMIF($E$16:$F$96,"All Team",$G$16:$G$96)/5+SUMIF($E$16:$F$96,"Nam, Ngọc",$G$16:$G$96)/2+ SUMIF($E$16:$F$96,"Nam, Hiếu",$G$16:$G$96)/2+SUMIF($E$16:$F$96,"Nam, Hiếu, Lâm",$G$16:$G$96)/3+SUMIF($E$16:$F$96,"Nam, Khiêm",$G$16:$G$96)/2+SUMIF($E$16:$F$96,"Nam, Lâm",$G$16:$G$96)/2+SUMIF($E$16:$F$96,"Nam, Khiêm, Lâm",$G$16:$G$96)/3+SUMIF($E$16:$F$96,"Nam, Khiêm, Hiếu",$G$16:$G$96)/3+SUMIF($E$16:$F$96,"Nam, Ngọc, Hiếu",$G$16:$G$96)/3</f>
        <v>82.5</v>
      </c>
      <c r="E8" s="26">
        <f ca="1">SUMIF($E$16:$F$96,"Nam",$H$16:$H$96)+SUMIF($E$16:$F$96,"All Team",$H$16:$H$96)/5+SUMIF($E$16:$F$96,"Nam, Ngọc",$H$16:$H$96)/2+ SUMIF($E$16:$F$96,"Nam, Hiếu",$H$16:$H$96)/2+SUMIF($E$16:$F$96,"Nam, Hiếu, Lâm",$H$16:$H$96)/3+SUMIF($E$16:$F$96,"Nam, Khiêm",$H$16:$H$96)/2+SUMIF($E$16:$F$96,"Nam, Lâm",$H$16:$H$96)/2+SUMIF($E$16:$F$96,"Nam, Khiêm, Lâm",$H$16:$H$96)/3+SUMIF($E$16:$F$96,"Nam, Khiêm, Hiếu",$H$16:$H$96)/3+SUMIF($E$16:$F$96,"Nam, Ngọc, Hiếu",$H$16:$H$96)/3</f>
        <v>76.833333333333329</v>
      </c>
    </row>
    <row r="9" spans="1:31" ht="20.399999999999999" customHeight="1" thickBot="1" x14ac:dyDescent="0.35">
      <c r="B9" s="12">
        <v>2</v>
      </c>
      <c r="C9" s="10" t="s">
        <v>23</v>
      </c>
      <c r="D9" s="26">
        <f ca="1">SUMIF($E$16:$F$96,"Ngọc",$G$16:$G$96)+SUMIF($E$16:$F$96,"All Team",$G$16:$G$96)/5+SUMIF($E$16:$F$96,"Nam, Ngọc",$G$16:$G$96)/2+SUMIF($E$16:$F$96,"Ngọc, Khiêm",$G$16:$G$96)/2 +SUMIF($E$16:$F$96,"Ngọc, Hiếu, Lâm",$G$16:$G$96)/3 +SUMIF($E$16:$F$96,"Ngọc, Khiêm, Lâm",$G$16:$G$96)/3+SUMIF($E$16:$F$96,"Ngọc, Lâm",$G$16:$G$96)/2+SUMIF($E$16:$F$96,"Nam, Ngọc, Hiếu",$G$16:$G$96)/3</f>
        <v>78.5</v>
      </c>
      <c r="E9" s="26">
        <f ca="1">SUMIF($E$16:$F$96,"Ngọc",$H$16:$H$96)+SUMIF($E$16:$F$96,"All Team",$H$16:$H$96)/5+SUMIF($E$16:$F$96,"Nam, Ngọc",$H$16:$H$96)/2+SUMIF($E$16:$F$96,"Ngọc, Khiêm",$H$16:$H$96)/2 +SUMIF($E$16:$F$96,"Ngọc, Hiếu, Lâm",$H$16:$H$96)/3 +SUMIF($E$16:$F$96,"Ngọc, Khiêm, Lâm",$H$16:$H$96)/3+SUMIF($E$16:$F$96,"Ngọc, Lâm",$H$16:$H$96)/2+SUMIF($E$16:$F$96,"Nam, Ngọc, Hiếu",$H$16:$H$96)/3</f>
        <v>76.666666666666657</v>
      </c>
    </row>
    <row r="10" spans="1:31" ht="20.399999999999999" customHeight="1" thickBot="1" x14ac:dyDescent="0.35">
      <c r="B10" s="12">
        <v>3</v>
      </c>
      <c r="C10" s="10" t="s">
        <v>24</v>
      </c>
      <c r="D10" s="26">
        <f ca="1">SUMIF($E$16:$F$96,"Khiêm",$G$16:$G$96)+SUMIF($E$16:$F$96,"All Team",$G$16:$G$96)/5+SUMIF($E$16:$F$96,"Khiêm, Hiếu",$G$16:$G$96)/2+SUMIF($E$16:$F$96,"Ngọc, Khiêm",$G$16:$G$96)/2+SUMIF($E$16:$F$96,"Ngọc, Khiêm, Lâm",$G$16:$G$96)/3+SUMIF($E$16:$F$96,"Nam, Khiêm",$G$16:$G$96)/2+SUMIF($E$16:$F$96,"Khiêm, Lâm",$G$16:$G$96)/2+SUMIF($E$16:$F$96,"Nam, Khiêm, Hiếu",$G$16:$G$96)/3+SUMIF($E$16:$F$96,"Nam, Khiêm, Lâm",$G$16:$G$96)/3+SUMIF($E$16:$F$96,"Khiêm, Hiếu, Lâm",$G$16:$G$96)/3</f>
        <v>89.333333333333329</v>
      </c>
      <c r="E10" s="26">
        <f ca="1">SUMIF($E$16:$F$96,"Khiêm",$H$16:$H$96)+SUMIF($E$16:$F$96,"All Team",$H$16:$H$96)/5+SUMIF($E$16:$F$96,"Khiêm, Hiếu",$H$16:$H$96)/2+SUMIF($E$16:$F$96,"Ngọc, Khiêm",$H$16:$H$96)/2+SUMIF($E$16:$F$96,"Ngọc, Khiêm, Lâm",$H$16:$H$96)/3+SUMIF($E$16:$F$96,"Nam, Khiêm",$H$16:$H$96)/2+SUMIF($E$16:$F$96,"Khiêm, Lâm",$H$16:$H$96)/2+SUMIF($E$16:$F$96,"Nam, Khiêm, Hiếu",$H$16:$H$96)/3+SUMIF($E$16:$F$96,"Nam, Khiêm, Lâm",$H$16:$H$96)/3+SUMIF($E$16:$F$96,"Khiêm, Hiếu, Lâm",$H$16:$H$96)/3</f>
        <v>88.166666666666657</v>
      </c>
    </row>
    <row r="11" spans="1:31" ht="20.399999999999999" customHeight="1" thickBot="1" x14ac:dyDescent="0.35">
      <c r="B11" s="12">
        <v>4</v>
      </c>
      <c r="C11" s="10" t="s">
        <v>25</v>
      </c>
      <c r="D11" s="26">
        <f ca="1">SUMIF($E$16:$F$96,"Hiếu",$G$16:$G$96)+SUMIF($E$16:$F$96,"All Team",$G$16:$G$96)/5+SUMIF($E$16:$F$96,"Khiêm, Hiếu",$G$16:$G$96)/2+SUMIF($E$16:$F$96,"Hiếu, Lâm",$G$16:$G$96)/2+SUMIF($E$16:$F$96,"Ngọc, Hiếu, Lâm",$G$16:$G$96)/3 +SUMIF($E$16:$F$96,"Nam, Hiếu",$G$16:$G$96)/2+SUMIF($E$16:$F$96,"Nam, Hiếu, Lâm",$G$16:$G$96)/3+SUMIF($E$16:$F$96,"Nam, Khiêm, Hiếu",$G$16:$G$96)/3+SUMIF($E$16:$F$96,"Nam, Ngọc, Hiếu",$G$16:$G$96)/3+SUMIF($E$16:$F$96,"Khiêm, Hiếu, Lâm",$G$16:$G$96)/3</f>
        <v>75.166666666666657</v>
      </c>
      <c r="E11" s="26">
        <f ca="1">SUMIF($E$16:$F$96,"Hiếu",$H$16:$H$96)+SUMIF($E$16:$F$96,"All Team",$H$16:$H$96)/5+SUMIF($E$16:$F$96,"Khiêm, Hiếu",$H$16:$H$96)/2+SUMIF($E$16:$F$96,"Hiếu, Lâm",$H$16:$H$96)/2+SUMIF($E$16:$F$96,"Ngọc, Hiếu, Lâm",$H$16:$H$96)/3 +SUMIF($E$16:$F$96,"Nam, Hiếu",$H$16:$H$96)/2+SUMIF($E$16:$F$96,"Nam, Hiếu, Lâm",$H$16:$H$96)/3+SUMIF($E$16:$F$96,"Nam, Khiêm, Hiếu",$H$16:$H$96)/3+SUMIF($E$16:$F$96,"Nam, Ngọc, Hiếu",$H$16:$H$96)/3+SUMIF($E$16:$F$96,"Khiêm, Hiếu, Lâm",$H$16:$H$96)/3</f>
        <v>72.499999999999986</v>
      </c>
    </row>
    <row r="12" spans="1:31" ht="20.399999999999999" customHeight="1" thickBot="1" x14ac:dyDescent="0.35">
      <c r="B12" s="12">
        <v>5</v>
      </c>
      <c r="C12" s="10" t="s">
        <v>26</v>
      </c>
      <c r="D12" s="26">
        <f ca="1">SUMIF($E$16:$F$96,"Lâm",$G$16:$G$96)+SUMIF($E$16:$F$96,"All Team",$G$16:$G$96)/5+SUMIF($E$16:$F$96,"Hiếu, Lâm",$G$16:$G$96)/2+SUMIF($E$16:$F$96,"Ngọc, Hiếu, Lâm",$G$16:$G$96)/3+SUMIF($E$16:$F$96,"Nam, Hiếu, Lâm",$G$16:$G$96)/3+SUMIF($E$16:$F$96,"Ngọc, Khiêm, Lâm",$G$16:$G$96)/3+SUMIF($E$16:$F$96,"Khiêm, Lâm",$G$16:$G$96)/2+SUMIF($E$16:$F$96,"Nam, Lâm",$G$16:$G$96)/2+SUMIF($E$16:$F$96,"Nam, Khiêm, Lâm",$G$16:$G$96)/3+SUMIF($E$16:$F$96,"Ngọc, Lâm",$G$16:$G$96)/2+SUMIF($E$16:$F$96,"Khiêm, Hiếu, Lâm",$G$16:$G$96)/3</f>
        <v>86.499999999999986</v>
      </c>
      <c r="E12" s="26">
        <f ca="1">SUMIF($E$16:$F$96,"Lâm",$H$16:$H$96)+SUMIF($E$16:$F$96,"All Team",$H$16:$H$96)/5+SUMIF($E$16:$F$96,"Hiếu, Lâm",$H$16:$H$96)/2+SUMIF($E$16:$F$96,"Ngọc, Hiếu, Lâm",$H$16:$H$96)/3+SUMIF($E$16:$F$96,"Nam, Hiếu, Lâm",$H$16:$H$96)/3+SUMIF($E$16:$F$96,"Ngọc, Khiêm, Lâm",$H$16:$H$96)/3+SUMIF($E$16:$F$96,"Khiêm, Lâm",$H$16:$H$96)/2+SUMIF($E$16:$F$96,"Nam, Lâm",$H$16:$H$96)/2+SUMIF($E$16:$F$96,"Nam, Khiêm, Lâm",$H$16:$H$96)/3+SUMIF($E$16:$F$96,"Ngọc, Lâm",$H$16:$H$96)/2+SUMIF($E$16:$F$96,"Khiêm, Hiếu, Lâm",$H$16:$H$96)/3</f>
        <v>85.833333333333314</v>
      </c>
    </row>
    <row r="13" spans="1:31" ht="20.399999999999999" customHeight="1" thickBot="1" x14ac:dyDescent="0.35">
      <c r="B13" s="68" t="s">
        <v>11</v>
      </c>
      <c r="C13" s="68"/>
      <c r="D13" s="13">
        <f ca="1">SUM(D8:D12)</f>
        <v>412</v>
      </c>
      <c r="E13" s="13">
        <f ca="1">SUM(E8:E12)</f>
        <v>399.99999999999994</v>
      </c>
    </row>
    <row r="14" spans="1:31" ht="20.399999999999999" customHeight="1" x14ac:dyDescent="0.3"/>
    <row r="15" spans="1:31" s="18" customFormat="1" ht="62.25" customHeight="1" x14ac:dyDescent="0.3">
      <c r="A15" s="8" t="s">
        <v>7</v>
      </c>
      <c r="B15" s="8" t="s">
        <v>184</v>
      </c>
      <c r="C15" s="69" t="s">
        <v>8</v>
      </c>
      <c r="D15" s="69"/>
      <c r="E15" s="69" t="s">
        <v>9</v>
      </c>
      <c r="F15" s="69"/>
      <c r="G15" s="16" t="s">
        <v>10</v>
      </c>
      <c r="H15" s="16" t="s">
        <v>14</v>
      </c>
      <c r="I15" s="17">
        <v>46103</v>
      </c>
      <c r="J15" s="17">
        <v>46104</v>
      </c>
      <c r="K15" s="17">
        <v>46105</v>
      </c>
      <c r="L15" s="17">
        <v>46106</v>
      </c>
      <c r="M15" s="17">
        <v>46107</v>
      </c>
      <c r="N15" s="17">
        <v>46108</v>
      </c>
      <c r="O15" s="17">
        <v>46109</v>
      </c>
      <c r="P15" s="17">
        <v>46110</v>
      </c>
      <c r="Q15" s="17">
        <v>46111</v>
      </c>
      <c r="R15" s="17">
        <v>46112</v>
      </c>
      <c r="S15" s="17">
        <v>46113</v>
      </c>
      <c r="T15" s="17">
        <v>46114</v>
      </c>
      <c r="U15" s="17">
        <v>46115</v>
      </c>
      <c r="V15" s="17">
        <v>46116</v>
      </c>
      <c r="W15" s="17">
        <v>46117</v>
      </c>
      <c r="X15" s="17">
        <v>46118</v>
      </c>
      <c r="Y15" s="17">
        <v>46119</v>
      </c>
      <c r="Z15" s="17">
        <v>46120</v>
      </c>
      <c r="AA15" s="17">
        <v>46121</v>
      </c>
      <c r="AB15" s="17">
        <v>46122</v>
      </c>
      <c r="AC15" s="17">
        <v>46123</v>
      </c>
      <c r="AD15" s="17">
        <v>46124</v>
      </c>
      <c r="AE15" s="17">
        <v>46125</v>
      </c>
    </row>
    <row r="16" spans="1:31" s="25" customFormat="1" ht="19.8" customHeight="1" x14ac:dyDescent="0.3">
      <c r="A16" s="56" t="s">
        <v>4</v>
      </c>
      <c r="B16" s="49" t="s">
        <v>170</v>
      </c>
      <c r="C16" s="48" t="s">
        <v>171</v>
      </c>
      <c r="D16" s="48"/>
      <c r="E16" s="45" t="s">
        <v>90</v>
      </c>
      <c r="F16" s="45"/>
      <c r="G16" s="37">
        <v>10</v>
      </c>
      <c r="H16" s="37">
        <v>10</v>
      </c>
      <c r="I16" s="36">
        <v>10</v>
      </c>
      <c r="J16" s="19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s="25" customFormat="1" ht="19.8" customHeight="1" x14ac:dyDescent="0.3">
      <c r="A17" s="56"/>
      <c r="B17" s="50"/>
      <c r="C17" s="48" t="s">
        <v>172</v>
      </c>
      <c r="D17" s="48"/>
      <c r="E17" s="45" t="s">
        <v>42</v>
      </c>
      <c r="F17" s="45"/>
      <c r="G17" s="37">
        <v>9</v>
      </c>
      <c r="H17" s="37">
        <v>10</v>
      </c>
      <c r="I17" s="5">
        <v>10</v>
      </c>
      <c r="J17" s="19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s="25" customFormat="1" ht="19.8" customHeight="1" x14ac:dyDescent="0.3">
      <c r="A18" s="56"/>
      <c r="B18" s="51"/>
      <c r="C18" s="46"/>
      <c r="D18" s="47"/>
      <c r="E18" s="46"/>
      <c r="F18" s="47"/>
      <c r="G18" s="37"/>
      <c r="H18" s="37"/>
      <c r="I18" s="5"/>
      <c r="J18" s="20">
        <v>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s="25" customFormat="1" ht="19.8" customHeight="1" x14ac:dyDescent="0.3">
      <c r="A19" s="56"/>
      <c r="B19" s="55" t="s">
        <v>65</v>
      </c>
      <c r="C19" s="48" t="s">
        <v>27</v>
      </c>
      <c r="D19" s="48"/>
      <c r="E19" s="45" t="s">
        <v>44</v>
      </c>
      <c r="F19" s="45"/>
      <c r="G19" s="35">
        <v>5</v>
      </c>
      <c r="H19" s="35">
        <v>5</v>
      </c>
      <c r="I19" s="21">
        <v>5</v>
      </c>
      <c r="J19" s="5">
        <v>1</v>
      </c>
      <c r="K19" s="19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s="25" customFormat="1" ht="19.8" customHeight="1" x14ac:dyDescent="0.3">
      <c r="A20" s="56"/>
      <c r="B20" s="55"/>
      <c r="C20" s="48" t="s">
        <v>28</v>
      </c>
      <c r="D20" s="48"/>
      <c r="E20" s="45" t="s">
        <v>44</v>
      </c>
      <c r="F20" s="45"/>
      <c r="G20" s="35">
        <v>4</v>
      </c>
      <c r="H20" s="35">
        <v>4</v>
      </c>
      <c r="I20" s="21">
        <v>4</v>
      </c>
      <c r="J20" s="5">
        <v>2</v>
      </c>
      <c r="K20" s="19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s="25" customFormat="1" ht="19.8" customHeight="1" x14ac:dyDescent="0.3">
      <c r="A21" s="56"/>
      <c r="B21" s="55"/>
      <c r="C21" s="48" t="s">
        <v>29</v>
      </c>
      <c r="D21" s="48"/>
      <c r="E21" s="45" t="s">
        <v>45</v>
      </c>
      <c r="F21" s="45"/>
      <c r="G21" s="35">
        <v>3</v>
      </c>
      <c r="H21" s="35">
        <v>3</v>
      </c>
      <c r="I21" s="21">
        <v>3</v>
      </c>
      <c r="J21" s="5">
        <v>1</v>
      </c>
      <c r="K21" s="19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s="25" customFormat="1" ht="19.8" customHeight="1" x14ac:dyDescent="0.3">
      <c r="A22" s="56"/>
      <c r="B22" s="55"/>
      <c r="C22" s="48" t="s">
        <v>30</v>
      </c>
      <c r="D22" s="48"/>
      <c r="E22" s="45" t="s">
        <v>45</v>
      </c>
      <c r="F22" s="45"/>
      <c r="G22" s="35">
        <v>4</v>
      </c>
      <c r="H22" s="35">
        <v>4</v>
      </c>
      <c r="I22" s="21">
        <v>4</v>
      </c>
      <c r="J22" s="5">
        <v>2</v>
      </c>
      <c r="K22" s="19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s="25" customFormat="1" ht="19.8" customHeight="1" x14ac:dyDescent="0.3">
      <c r="A23" s="56"/>
      <c r="B23" s="55"/>
      <c r="C23" s="48" t="s">
        <v>31</v>
      </c>
      <c r="D23" s="48"/>
      <c r="E23" s="45" t="s">
        <v>46</v>
      </c>
      <c r="F23" s="45"/>
      <c r="G23" s="35">
        <v>3</v>
      </c>
      <c r="H23" s="35">
        <v>3</v>
      </c>
      <c r="I23" s="21">
        <v>3</v>
      </c>
      <c r="J23" s="5">
        <v>3</v>
      </c>
      <c r="K23" s="5">
        <v>1</v>
      </c>
      <c r="L23" s="19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s="25" customFormat="1" ht="19.8" customHeight="1" x14ac:dyDescent="0.3">
      <c r="A24" s="56"/>
      <c r="B24" s="55"/>
      <c r="C24" s="48" t="s">
        <v>32</v>
      </c>
      <c r="D24" s="48"/>
      <c r="E24" s="46" t="s">
        <v>42</v>
      </c>
      <c r="F24" s="47"/>
      <c r="G24" s="35">
        <v>3</v>
      </c>
      <c r="H24" s="35">
        <v>3</v>
      </c>
      <c r="I24" s="21">
        <v>3</v>
      </c>
      <c r="J24" s="5">
        <v>3</v>
      </c>
      <c r="K24" s="5">
        <v>1</v>
      </c>
      <c r="L24" s="19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</row>
    <row r="25" spans="1:31" s="25" customFormat="1" ht="19.8" customHeight="1" x14ac:dyDescent="0.3">
      <c r="A25" s="56"/>
      <c r="B25" s="55"/>
      <c r="C25" s="48" t="s">
        <v>33</v>
      </c>
      <c r="D25" s="48"/>
      <c r="E25" s="46" t="s">
        <v>46</v>
      </c>
      <c r="F25" s="47"/>
      <c r="G25" s="35">
        <v>4</v>
      </c>
      <c r="H25" s="35">
        <v>4</v>
      </c>
      <c r="I25" s="21">
        <v>4</v>
      </c>
      <c r="J25" s="5">
        <v>4</v>
      </c>
      <c r="K25" s="5">
        <v>2</v>
      </c>
      <c r="L25" s="19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</row>
    <row r="26" spans="1:31" s="25" customFormat="1" ht="19.8" customHeight="1" x14ac:dyDescent="0.3">
      <c r="A26" s="56"/>
      <c r="B26" s="55"/>
      <c r="C26" s="48" t="s">
        <v>34</v>
      </c>
      <c r="D26" s="48"/>
      <c r="E26" s="46" t="s">
        <v>42</v>
      </c>
      <c r="F26" s="47"/>
      <c r="G26" s="35">
        <v>3</v>
      </c>
      <c r="H26" s="35">
        <v>3</v>
      </c>
      <c r="I26" s="21">
        <v>3</v>
      </c>
      <c r="J26" s="5">
        <v>3</v>
      </c>
      <c r="K26" s="5">
        <v>1</v>
      </c>
      <c r="L26" s="19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</row>
    <row r="27" spans="1:31" s="25" customFormat="1" ht="19.8" customHeight="1" x14ac:dyDescent="0.3">
      <c r="A27" s="56"/>
      <c r="B27" s="55"/>
      <c r="C27" s="48" t="s">
        <v>35</v>
      </c>
      <c r="D27" s="48"/>
      <c r="E27" s="46" t="s">
        <v>46</v>
      </c>
      <c r="F27" s="47"/>
      <c r="G27" s="35">
        <v>3</v>
      </c>
      <c r="H27" s="35">
        <v>3</v>
      </c>
      <c r="I27" s="21">
        <v>3</v>
      </c>
      <c r="J27" s="5">
        <v>3</v>
      </c>
      <c r="K27" s="5">
        <v>1</v>
      </c>
      <c r="L27" s="19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</row>
    <row r="28" spans="1:31" s="25" customFormat="1" ht="19.8" customHeight="1" x14ac:dyDescent="0.3">
      <c r="A28" s="56"/>
      <c r="B28" s="55"/>
      <c r="C28" s="48" t="s">
        <v>36</v>
      </c>
      <c r="D28" s="48"/>
      <c r="E28" s="46" t="s">
        <v>46</v>
      </c>
      <c r="F28" s="47"/>
      <c r="G28" s="35">
        <v>3</v>
      </c>
      <c r="H28" s="35">
        <v>3</v>
      </c>
      <c r="I28" s="21">
        <v>3</v>
      </c>
      <c r="J28" s="5">
        <v>3</v>
      </c>
      <c r="K28" s="5">
        <v>1</v>
      </c>
      <c r="L28" s="19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</row>
    <row r="29" spans="1:31" s="25" customFormat="1" ht="19.8" customHeight="1" x14ac:dyDescent="0.3">
      <c r="A29" s="56"/>
      <c r="B29" s="55"/>
      <c r="C29" s="48" t="s">
        <v>37</v>
      </c>
      <c r="D29" s="48"/>
      <c r="E29" s="46" t="s">
        <v>47</v>
      </c>
      <c r="F29" s="47"/>
      <c r="G29" s="35">
        <v>3</v>
      </c>
      <c r="H29" s="35">
        <v>3</v>
      </c>
      <c r="I29" s="21">
        <v>3</v>
      </c>
      <c r="J29" s="5">
        <v>3</v>
      </c>
      <c r="K29" s="5">
        <v>3</v>
      </c>
      <c r="L29" s="21">
        <v>1</v>
      </c>
      <c r="M29" s="19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</row>
    <row r="30" spans="1:31" s="25" customFormat="1" ht="19.8" customHeight="1" x14ac:dyDescent="0.3">
      <c r="A30" s="56"/>
      <c r="B30" s="55"/>
      <c r="C30" s="48" t="s">
        <v>38</v>
      </c>
      <c r="D30" s="48"/>
      <c r="E30" s="46" t="s">
        <v>47</v>
      </c>
      <c r="F30" s="47"/>
      <c r="G30" s="35">
        <v>3</v>
      </c>
      <c r="H30" s="35">
        <v>3</v>
      </c>
      <c r="I30" s="21">
        <v>3</v>
      </c>
      <c r="J30" s="5">
        <v>3</v>
      </c>
      <c r="K30" s="5">
        <v>3</v>
      </c>
      <c r="L30" s="21">
        <v>1</v>
      </c>
      <c r="M30" s="19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</row>
    <row r="31" spans="1:31" s="25" customFormat="1" ht="19.8" customHeight="1" x14ac:dyDescent="0.3">
      <c r="A31" s="56"/>
      <c r="B31" s="55"/>
      <c r="C31" s="48" t="s">
        <v>39</v>
      </c>
      <c r="D31" s="48"/>
      <c r="E31" s="46" t="s">
        <v>47</v>
      </c>
      <c r="F31" s="47"/>
      <c r="G31" s="35">
        <v>3</v>
      </c>
      <c r="H31" s="35">
        <v>3</v>
      </c>
      <c r="I31" s="21">
        <v>3</v>
      </c>
      <c r="J31" s="5">
        <v>3</v>
      </c>
      <c r="K31" s="5">
        <v>3</v>
      </c>
      <c r="L31" s="21">
        <v>1</v>
      </c>
      <c r="M31" s="19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</row>
    <row r="32" spans="1:31" s="25" customFormat="1" ht="19.8" customHeight="1" x14ac:dyDescent="0.3">
      <c r="A32" s="56"/>
      <c r="B32" s="55"/>
      <c r="C32" s="48" t="s">
        <v>40</v>
      </c>
      <c r="D32" s="48"/>
      <c r="E32" s="46" t="s">
        <v>47</v>
      </c>
      <c r="F32" s="47"/>
      <c r="G32" s="35">
        <v>2</v>
      </c>
      <c r="H32" s="35">
        <v>2</v>
      </c>
      <c r="I32" s="21">
        <v>2</v>
      </c>
      <c r="J32" s="5">
        <v>2</v>
      </c>
      <c r="K32" s="5">
        <v>2</v>
      </c>
      <c r="L32" s="21">
        <v>1</v>
      </c>
      <c r="M32" s="19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</row>
    <row r="33" spans="1:31" s="25" customFormat="1" ht="19.8" customHeight="1" x14ac:dyDescent="0.3">
      <c r="A33" s="56"/>
      <c r="B33" s="55"/>
      <c r="C33" s="48" t="s">
        <v>41</v>
      </c>
      <c r="D33" s="48"/>
      <c r="E33" s="46" t="s">
        <v>47</v>
      </c>
      <c r="F33" s="47"/>
      <c r="G33" s="35">
        <v>2</v>
      </c>
      <c r="H33" s="35">
        <v>2</v>
      </c>
      <c r="I33" s="21">
        <v>2</v>
      </c>
      <c r="J33" s="5">
        <v>2</v>
      </c>
      <c r="K33" s="5">
        <v>2</v>
      </c>
      <c r="L33" s="21">
        <v>1</v>
      </c>
      <c r="M33" s="19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</row>
    <row r="34" spans="1:31" s="25" customFormat="1" ht="19.8" customHeight="1" x14ac:dyDescent="0.3">
      <c r="A34" s="56"/>
      <c r="B34" s="55"/>
      <c r="C34" s="48" t="s">
        <v>43</v>
      </c>
      <c r="D34" s="48"/>
      <c r="E34" s="46" t="s">
        <v>47</v>
      </c>
      <c r="F34" s="47"/>
      <c r="G34" s="35">
        <v>2</v>
      </c>
      <c r="H34" s="35">
        <v>2</v>
      </c>
      <c r="I34" s="21">
        <v>2</v>
      </c>
      <c r="J34" s="5">
        <v>2</v>
      </c>
      <c r="K34" s="5">
        <v>2</v>
      </c>
      <c r="L34" s="21">
        <v>1</v>
      </c>
      <c r="M34" s="19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</row>
    <row r="35" spans="1:31" s="25" customFormat="1" ht="19.8" customHeight="1" x14ac:dyDescent="0.3">
      <c r="A35" s="56"/>
      <c r="B35" s="52" t="s">
        <v>66</v>
      </c>
      <c r="C35" s="48" t="s">
        <v>48</v>
      </c>
      <c r="D35" s="48"/>
      <c r="E35" s="45" t="s">
        <v>44</v>
      </c>
      <c r="F35" s="45"/>
      <c r="G35" s="35">
        <v>4</v>
      </c>
      <c r="H35" s="35">
        <v>5</v>
      </c>
      <c r="I35" s="21">
        <v>5</v>
      </c>
      <c r="J35" s="5">
        <v>5</v>
      </c>
      <c r="K35" s="5">
        <v>5</v>
      </c>
      <c r="L35" s="5">
        <v>3</v>
      </c>
      <c r="M35" s="21">
        <v>1</v>
      </c>
      <c r="N35" s="19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</row>
    <row r="36" spans="1:31" s="25" customFormat="1" ht="19.8" customHeight="1" x14ac:dyDescent="0.3">
      <c r="A36" s="56"/>
      <c r="B36" s="53"/>
      <c r="C36" s="46"/>
      <c r="D36" s="47"/>
      <c r="E36" s="46"/>
      <c r="F36" s="47"/>
      <c r="G36" s="35"/>
      <c r="H36" s="35"/>
      <c r="I36" s="21"/>
      <c r="J36" s="5"/>
      <c r="K36" s="5"/>
      <c r="L36" s="5"/>
      <c r="M36" s="21"/>
      <c r="N36" s="20">
        <v>1</v>
      </c>
      <c r="O36" s="21"/>
      <c r="P36" s="21"/>
      <c r="Q36" s="21"/>
      <c r="R36" s="21"/>
      <c r="S36" s="21"/>
      <c r="T36" s="21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s="25" customFormat="1" ht="19.8" customHeight="1" x14ac:dyDescent="0.3">
      <c r="A37" s="56"/>
      <c r="B37" s="53"/>
      <c r="C37" s="48" t="s">
        <v>49</v>
      </c>
      <c r="D37" s="48"/>
      <c r="E37" s="45" t="s">
        <v>44</v>
      </c>
      <c r="F37" s="45"/>
      <c r="G37" s="35">
        <v>5</v>
      </c>
      <c r="H37" s="35">
        <v>5</v>
      </c>
      <c r="I37" s="21">
        <v>5</v>
      </c>
      <c r="J37" s="5">
        <v>5</v>
      </c>
      <c r="K37" s="5">
        <v>5</v>
      </c>
      <c r="L37" s="5">
        <v>3</v>
      </c>
      <c r="M37" s="21">
        <v>1</v>
      </c>
      <c r="N37" s="19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</row>
    <row r="38" spans="1:31" s="25" customFormat="1" ht="19.8" customHeight="1" x14ac:dyDescent="0.3">
      <c r="A38" s="56"/>
      <c r="B38" s="53"/>
      <c r="C38" s="48" t="s">
        <v>50</v>
      </c>
      <c r="D38" s="48"/>
      <c r="E38" s="45" t="s">
        <v>45</v>
      </c>
      <c r="F38" s="45"/>
      <c r="G38" s="35">
        <v>6</v>
      </c>
      <c r="H38" s="35">
        <v>6</v>
      </c>
      <c r="I38" s="21">
        <v>6</v>
      </c>
      <c r="J38" s="5">
        <v>6</v>
      </c>
      <c r="K38" s="5">
        <v>6</v>
      </c>
      <c r="L38" s="5">
        <v>4</v>
      </c>
      <c r="M38" s="21">
        <v>2</v>
      </c>
      <c r="N38" s="19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</row>
    <row r="39" spans="1:31" s="25" customFormat="1" ht="19.8" customHeight="1" x14ac:dyDescent="0.3">
      <c r="A39" s="56"/>
      <c r="B39" s="53"/>
      <c r="C39" s="48" t="s">
        <v>51</v>
      </c>
      <c r="D39" s="48"/>
      <c r="E39" s="45" t="s">
        <v>45</v>
      </c>
      <c r="F39" s="45"/>
      <c r="G39" s="35">
        <v>6</v>
      </c>
      <c r="H39" s="35">
        <v>6</v>
      </c>
      <c r="I39" s="21">
        <v>6</v>
      </c>
      <c r="J39" s="5">
        <v>6</v>
      </c>
      <c r="K39" s="5">
        <v>6</v>
      </c>
      <c r="L39" s="5">
        <v>6</v>
      </c>
      <c r="M39" s="21">
        <v>4</v>
      </c>
      <c r="N39" s="21">
        <v>2</v>
      </c>
      <c r="O39" s="19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</row>
    <row r="40" spans="1:31" s="25" customFormat="1" ht="19.8" customHeight="1" x14ac:dyDescent="0.3">
      <c r="A40" s="56"/>
      <c r="B40" s="53"/>
      <c r="C40" s="48" t="s">
        <v>52</v>
      </c>
      <c r="D40" s="48"/>
      <c r="E40" s="45" t="s">
        <v>46</v>
      </c>
      <c r="F40" s="45"/>
      <c r="G40" s="35">
        <v>6</v>
      </c>
      <c r="H40" s="35">
        <v>6</v>
      </c>
      <c r="I40" s="21">
        <v>6</v>
      </c>
      <c r="J40" s="5">
        <v>6</v>
      </c>
      <c r="K40" s="5">
        <v>6</v>
      </c>
      <c r="L40" s="5">
        <v>6</v>
      </c>
      <c r="M40" s="21">
        <v>4</v>
      </c>
      <c r="N40" s="21">
        <v>2</v>
      </c>
      <c r="O40" s="19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</row>
    <row r="41" spans="1:31" s="25" customFormat="1" ht="19.8" customHeight="1" x14ac:dyDescent="0.3">
      <c r="A41" s="56"/>
      <c r="B41" s="53"/>
      <c r="C41" s="48" t="s">
        <v>53</v>
      </c>
      <c r="D41" s="48"/>
      <c r="E41" s="46" t="s">
        <v>42</v>
      </c>
      <c r="F41" s="47"/>
      <c r="G41" s="35">
        <v>6</v>
      </c>
      <c r="H41" s="35">
        <v>6</v>
      </c>
      <c r="I41" s="21">
        <v>6</v>
      </c>
      <c r="J41" s="5">
        <v>6</v>
      </c>
      <c r="K41" s="5">
        <v>6</v>
      </c>
      <c r="L41" s="5">
        <v>6</v>
      </c>
      <c r="M41" s="21">
        <v>4</v>
      </c>
      <c r="N41" s="21">
        <v>2</v>
      </c>
      <c r="O41" s="19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</row>
    <row r="42" spans="1:31" s="25" customFormat="1" ht="19.8" customHeight="1" x14ac:dyDescent="0.3">
      <c r="A42" s="56"/>
      <c r="B42" s="53"/>
      <c r="C42" s="48" t="s">
        <v>54</v>
      </c>
      <c r="D42" s="48"/>
      <c r="E42" s="46" t="s">
        <v>179</v>
      </c>
      <c r="F42" s="47"/>
      <c r="G42" s="35">
        <v>6</v>
      </c>
      <c r="H42" s="35">
        <v>6</v>
      </c>
      <c r="I42" s="21">
        <v>6</v>
      </c>
      <c r="J42" s="5">
        <v>6</v>
      </c>
      <c r="K42" s="5">
        <v>6</v>
      </c>
      <c r="L42" s="5">
        <v>6</v>
      </c>
      <c r="M42" s="21">
        <v>6</v>
      </c>
      <c r="N42" s="21">
        <v>4</v>
      </c>
      <c r="O42" s="21">
        <v>2</v>
      </c>
      <c r="P42" s="19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</row>
    <row r="43" spans="1:31" s="25" customFormat="1" ht="19.8" customHeight="1" x14ac:dyDescent="0.3">
      <c r="A43" s="56"/>
      <c r="B43" s="53"/>
      <c r="C43" s="48" t="s">
        <v>55</v>
      </c>
      <c r="D43" s="48"/>
      <c r="E43" s="46" t="s">
        <v>174</v>
      </c>
      <c r="F43" s="47"/>
      <c r="G43" s="35">
        <v>8</v>
      </c>
      <c r="H43" s="35">
        <v>8</v>
      </c>
      <c r="I43" s="21">
        <v>8</v>
      </c>
      <c r="J43" s="5">
        <v>8</v>
      </c>
      <c r="K43" s="5">
        <v>8</v>
      </c>
      <c r="L43" s="5">
        <v>8</v>
      </c>
      <c r="M43" s="21">
        <v>5</v>
      </c>
      <c r="N43" s="21">
        <v>3</v>
      </c>
      <c r="O43" s="21">
        <v>1</v>
      </c>
      <c r="P43" s="19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</row>
    <row r="44" spans="1:31" s="25" customFormat="1" ht="19.8" customHeight="1" x14ac:dyDescent="0.3">
      <c r="A44" s="56"/>
      <c r="B44" s="53"/>
      <c r="C44" s="48" t="s">
        <v>56</v>
      </c>
      <c r="D44" s="48"/>
      <c r="E44" s="46" t="s">
        <v>46</v>
      </c>
      <c r="F44" s="47"/>
      <c r="G44" s="35">
        <v>6</v>
      </c>
      <c r="H44" s="35">
        <v>6</v>
      </c>
      <c r="I44" s="21">
        <v>6</v>
      </c>
      <c r="J44" s="5">
        <v>6</v>
      </c>
      <c r="K44" s="5">
        <v>6</v>
      </c>
      <c r="L44" s="5">
        <v>6</v>
      </c>
      <c r="M44" s="21">
        <v>6</v>
      </c>
      <c r="N44" s="21">
        <v>4</v>
      </c>
      <c r="O44" s="21">
        <v>2</v>
      </c>
      <c r="P44" s="19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</row>
    <row r="45" spans="1:31" s="25" customFormat="1" ht="19.8" customHeight="1" x14ac:dyDescent="0.3">
      <c r="A45" s="56"/>
      <c r="B45" s="53"/>
      <c r="C45" s="48" t="s">
        <v>57</v>
      </c>
      <c r="D45" s="48"/>
      <c r="E45" s="46" t="s">
        <v>46</v>
      </c>
      <c r="F45" s="47"/>
      <c r="G45" s="35">
        <v>6</v>
      </c>
      <c r="H45" s="35">
        <v>6</v>
      </c>
      <c r="I45" s="21">
        <v>6</v>
      </c>
      <c r="J45" s="5">
        <v>6</v>
      </c>
      <c r="K45" s="5">
        <v>6</v>
      </c>
      <c r="L45" s="5">
        <v>6</v>
      </c>
      <c r="M45" s="21">
        <v>6</v>
      </c>
      <c r="N45" s="21">
        <v>6</v>
      </c>
      <c r="O45" s="21">
        <v>4</v>
      </c>
      <c r="P45" s="21">
        <v>2</v>
      </c>
      <c r="Q45" s="19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</row>
    <row r="46" spans="1:31" s="25" customFormat="1" ht="19.8" customHeight="1" x14ac:dyDescent="0.3">
      <c r="A46" s="56"/>
      <c r="B46" s="53"/>
      <c r="C46" s="48" t="s">
        <v>58</v>
      </c>
      <c r="D46" s="48"/>
      <c r="E46" s="46" t="s">
        <v>80</v>
      </c>
      <c r="F46" s="47"/>
      <c r="G46" s="35">
        <v>5</v>
      </c>
      <c r="H46" s="35">
        <v>5</v>
      </c>
      <c r="I46" s="21">
        <v>5</v>
      </c>
      <c r="J46" s="5">
        <v>5</v>
      </c>
      <c r="K46" s="5">
        <v>5</v>
      </c>
      <c r="L46" s="5">
        <v>5</v>
      </c>
      <c r="M46" s="21">
        <v>5</v>
      </c>
      <c r="N46" s="21">
        <v>5</v>
      </c>
      <c r="O46" s="21">
        <v>3</v>
      </c>
      <c r="P46" s="21">
        <v>1</v>
      </c>
      <c r="Q46" s="19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</row>
    <row r="47" spans="1:31" s="25" customFormat="1" ht="19.8" customHeight="1" x14ac:dyDescent="0.3">
      <c r="A47" s="56"/>
      <c r="B47" s="53"/>
      <c r="C47" s="48" t="s">
        <v>59</v>
      </c>
      <c r="D47" s="48"/>
      <c r="E47" s="46" t="s">
        <v>175</v>
      </c>
      <c r="F47" s="47"/>
      <c r="G47" s="35">
        <v>6</v>
      </c>
      <c r="H47" s="35">
        <v>6</v>
      </c>
      <c r="I47" s="21">
        <v>6</v>
      </c>
      <c r="J47" s="5">
        <v>6</v>
      </c>
      <c r="K47" s="5">
        <v>6</v>
      </c>
      <c r="L47" s="5">
        <v>6</v>
      </c>
      <c r="M47" s="21">
        <v>6</v>
      </c>
      <c r="N47" s="21">
        <v>6</v>
      </c>
      <c r="O47" s="21">
        <v>4</v>
      </c>
      <c r="P47" s="21">
        <v>2</v>
      </c>
      <c r="Q47" s="19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</row>
    <row r="48" spans="1:31" s="25" customFormat="1" ht="19.8" customHeight="1" x14ac:dyDescent="0.3">
      <c r="A48" s="56"/>
      <c r="B48" s="53"/>
      <c r="C48" s="48" t="s">
        <v>60</v>
      </c>
      <c r="D48" s="48"/>
      <c r="E48" s="46" t="s">
        <v>47</v>
      </c>
      <c r="F48" s="47"/>
      <c r="G48" s="35">
        <v>5</v>
      </c>
      <c r="H48" s="35">
        <v>5</v>
      </c>
      <c r="I48" s="21">
        <v>5</v>
      </c>
      <c r="J48" s="5">
        <v>5</v>
      </c>
      <c r="K48" s="5">
        <v>5</v>
      </c>
      <c r="L48" s="5">
        <v>5</v>
      </c>
      <c r="M48" s="21">
        <v>5</v>
      </c>
      <c r="N48" s="21">
        <v>5</v>
      </c>
      <c r="O48" s="21">
        <v>5</v>
      </c>
      <c r="P48" s="21">
        <v>3</v>
      </c>
      <c r="Q48" s="21">
        <v>1</v>
      </c>
      <c r="R48" s="19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</row>
    <row r="49" spans="1:31" s="25" customFormat="1" ht="19.8" customHeight="1" x14ac:dyDescent="0.3">
      <c r="A49" s="56"/>
      <c r="B49" s="53"/>
      <c r="C49" s="48" t="s">
        <v>61</v>
      </c>
      <c r="D49" s="48"/>
      <c r="E49" s="46" t="s">
        <v>173</v>
      </c>
      <c r="F49" s="47"/>
      <c r="G49" s="35">
        <v>8</v>
      </c>
      <c r="H49" s="35">
        <v>7</v>
      </c>
      <c r="I49" s="21">
        <v>7</v>
      </c>
      <c r="J49" s="5">
        <v>7</v>
      </c>
      <c r="K49" s="5">
        <v>7</v>
      </c>
      <c r="L49" s="5">
        <v>7</v>
      </c>
      <c r="M49" s="21">
        <v>7</v>
      </c>
      <c r="N49" s="21">
        <v>7</v>
      </c>
      <c r="O49" s="21">
        <v>7</v>
      </c>
      <c r="P49" s="21">
        <v>5</v>
      </c>
      <c r="Q49" s="21">
        <v>2</v>
      </c>
      <c r="R49" s="19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</row>
    <row r="50" spans="1:31" s="25" customFormat="1" ht="19.8" customHeight="1" x14ac:dyDescent="0.3">
      <c r="A50" s="56"/>
      <c r="B50" s="53"/>
      <c r="C50" s="46"/>
      <c r="D50" s="47"/>
      <c r="E50" s="46"/>
      <c r="F50" s="47"/>
      <c r="G50" s="35"/>
      <c r="H50" s="35"/>
      <c r="I50" s="21"/>
      <c r="J50" s="5"/>
      <c r="K50" s="5"/>
      <c r="L50" s="5"/>
      <c r="M50" s="21"/>
      <c r="N50" s="21"/>
      <c r="O50" s="21"/>
      <c r="P50" s="21"/>
      <c r="Q50" s="21"/>
      <c r="R50" s="22">
        <v>1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spans="1:31" s="25" customFormat="1" ht="19.8" customHeight="1" x14ac:dyDescent="0.3">
      <c r="A51" s="56"/>
      <c r="B51" s="53"/>
      <c r="C51" s="48" t="s">
        <v>62</v>
      </c>
      <c r="D51" s="48"/>
      <c r="E51" s="46" t="s">
        <v>47</v>
      </c>
      <c r="F51" s="47"/>
      <c r="G51" s="35">
        <v>5</v>
      </c>
      <c r="H51" s="35">
        <v>5</v>
      </c>
      <c r="I51" s="21">
        <v>5</v>
      </c>
      <c r="J51" s="5">
        <v>5</v>
      </c>
      <c r="K51" s="5">
        <v>5</v>
      </c>
      <c r="L51" s="5">
        <v>5</v>
      </c>
      <c r="M51" s="21">
        <v>5</v>
      </c>
      <c r="N51" s="21">
        <v>5</v>
      </c>
      <c r="O51" s="21">
        <v>5</v>
      </c>
      <c r="P51" s="21">
        <v>5</v>
      </c>
      <c r="Q51" s="21">
        <v>3</v>
      </c>
      <c r="R51" s="21">
        <v>1</v>
      </c>
      <c r="S51" s="19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</row>
    <row r="52" spans="1:31" s="25" customFormat="1" ht="19.8" customHeight="1" x14ac:dyDescent="0.3">
      <c r="A52" s="56"/>
      <c r="B52" s="53"/>
      <c r="C52" s="48" t="s">
        <v>63</v>
      </c>
      <c r="D52" s="48"/>
      <c r="E52" s="46" t="s">
        <v>80</v>
      </c>
      <c r="F52" s="47"/>
      <c r="G52" s="35">
        <v>5</v>
      </c>
      <c r="H52" s="35">
        <v>5</v>
      </c>
      <c r="I52" s="21">
        <v>5</v>
      </c>
      <c r="J52" s="5">
        <v>5</v>
      </c>
      <c r="K52" s="5">
        <v>5</v>
      </c>
      <c r="L52" s="5">
        <v>5</v>
      </c>
      <c r="M52" s="21">
        <v>5</v>
      </c>
      <c r="N52" s="21">
        <v>5</v>
      </c>
      <c r="O52" s="21">
        <v>5</v>
      </c>
      <c r="P52" s="21">
        <v>5</v>
      </c>
      <c r="Q52" s="21">
        <v>3</v>
      </c>
      <c r="R52" s="21">
        <v>1</v>
      </c>
      <c r="S52" s="19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</row>
    <row r="53" spans="1:31" s="25" customFormat="1" ht="19.8" customHeight="1" x14ac:dyDescent="0.3">
      <c r="A53" s="56"/>
      <c r="B53" s="53"/>
      <c r="C53" s="48" t="s">
        <v>64</v>
      </c>
      <c r="D53" s="48"/>
      <c r="E53" s="45" t="s">
        <v>174</v>
      </c>
      <c r="F53" s="45"/>
      <c r="G53" s="35">
        <v>9</v>
      </c>
      <c r="H53" s="35">
        <v>7</v>
      </c>
      <c r="I53" s="21">
        <v>7</v>
      </c>
      <c r="J53" s="5">
        <v>7</v>
      </c>
      <c r="K53" s="5">
        <v>7</v>
      </c>
      <c r="L53" s="5">
        <v>7</v>
      </c>
      <c r="M53" s="21">
        <v>7</v>
      </c>
      <c r="N53" s="21">
        <v>7</v>
      </c>
      <c r="O53" s="21">
        <v>7</v>
      </c>
      <c r="P53" s="21">
        <v>7</v>
      </c>
      <c r="Q53" s="21">
        <v>7</v>
      </c>
      <c r="R53" s="21">
        <v>5</v>
      </c>
      <c r="S53" s="21">
        <v>2</v>
      </c>
      <c r="T53" s="19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</row>
    <row r="54" spans="1:31" s="25" customFormat="1" ht="19.8" customHeight="1" x14ac:dyDescent="0.3">
      <c r="A54" s="56"/>
      <c r="B54" s="54"/>
      <c r="C54" s="46"/>
      <c r="D54" s="47"/>
      <c r="E54" s="46"/>
      <c r="F54" s="47"/>
      <c r="G54" s="35"/>
      <c r="H54" s="35"/>
      <c r="I54" s="21"/>
      <c r="J54" s="5"/>
      <c r="K54" s="5"/>
      <c r="L54" s="5"/>
      <c r="M54" s="21"/>
      <c r="N54" s="21"/>
      <c r="O54" s="21"/>
      <c r="P54" s="21"/>
      <c r="Q54" s="21"/>
      <c r="R54" s="21"/>
      <c r="S54" s="21"/>
      <c r="T54" s="22">
        <v>2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s="25" customFormat="1" ht="19.8" customHeight="1" x14ac:dyDescent="0.3">
      <c r="A55" s="56"/>
      <c r="B55" s="52" t="s">
        <v>67</v>
      </c>
      <c r="C55" s="48" t="s">
        <v>48</v>
      </c>
      <c r="D55" s="48"/>
      <c r="E55" s="45" t="s">
        <v>44</v>
      </c>
      <c r="F55" s="45"/>
      <c r="G55" s="35">
        <v>5</v>
      </c>
      <c r="H55" s="35">
        <v>5</v>
      </c>
      <c r="I55" s="21">
        <v>5</v>
      </c>
      <c r="J55" s="5">
        <v>5</v>
      </c>
      <c r="K55" s="5">
        <v>5</v>
      </c>
      <c r="L55" s="5">
        <v>3</v>
      </c>
      <c r="M55" s="5">
        <v>1</v>
      </c>
      <c r="N55" s="19">
        <v>0</v>
      </c>
      <c r="O55" s="21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</row>
    <row r="56" spans="1:31" s="25" customFormat="1" ht="19.8" customHeight="1" x14ac:dyDescent="0.3">
      <c r="A56" s="56"/>
      <c r="B56" s="53"/>
      <c r="C56" s="48" t="s">
        <v>49</v>
      </c>
      <c r="D56" s="48"/>
      <c r="E56" s="45" t="s">
        <v>44</v>
      </c>
      <c r="F56" s="45"/>
      <c r="G56" s="35">
        <v>4</v>
      </c>
      <c r="H56" s="35">
        <v>4</v>
      </c>
      <c r="I56" s="21">
        <v>4</v>
      </c>
      <c r="J56" s="5">
        <v>4</v>
      </c>
      <c r="K56" s="5">
        <v>4</v>
      </c>
      <c r="L56" s="5">
        <v>4</v>
      </c>
      <c r="M56" s="5">
        <v>2</v>
      </c>
      <c r="N56" s="19">
        <v>0</v>
      </c>
      <c r="O56" s="21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</row>
    <row r="57" spans="1:31" s="25" customFormat="1" ht="19.8" customHeight="1" x14ac:dyDescent="0.3">
      <c r="A57" s="56"/>
      <c r="B57" s="53"/>
      <c r="C57" s="48" t="s">
        <v>50</v>
      </c>
      <c r="D57" s="48"/>
      <c r="E57" s="45" t="s">
        <v>45</v>
      </c>
      <c r="F57" s="45"/>
      <c r="G57" s="35">
        <v>6</v>
      </c>
      <c r="H57" s="35">
        <v>6</v>
      </c>
      <c r="I57" s="21">
        <v>6</v>
      </c>
      <c r="J57" s="5">
        <v>6</v>
      </c>
      <c r="K57" s="5">
        <v>6</v>
      </c>
      <c r="L57" s="5">
        <v>4</v>
      </c>
      <c r="M57" s="5">
        <v>2</v>
      </c>
      <c r="N57" s="19">
        <v>0</v>
      </c>
      <c r="O57" s="21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</row>
    <row r="58" spans="1:31" s="25" customFormat="1" ht="19.8" customHeight="1" x14ac:dyDescent="0.3">
      <c r="A58" s="56"/>
      <c r="B58" s="53"/>
      <c r="C58" s="48" t="s">
        <v>51</v>
      </c>
      <c r="D58" s="48"/>
      <c r="E58" s="45" t="s">
        <v>45</v>
      </c>
      <c r="F58" s="45"/>
      <c r="G58" s="35">
        <v>8</v>
      </c>
      <c r="H58" s="35">
        <v>7</v>
      </c>
      <c r="I58" s="21">
        <v>7</v>
      </c>
      <c r="J58" s="5">
        <v>7</v>
      </c>
      <c r="K58" s="5">
        <v>7</v>
      </c>
      <c r="L58" s="5">
        <v>7</v>
      </c>
      <c r="M58" s="5">
        <v>5</v>
      </c>
      <c r="N58" s="21">
        <v>2</v>
      </c>
      <c r="O58" s="19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</row>
    <row r="59" spans="1:31" s="25" customFormat="1" ht="19.8" customHeight="1" x14ac:dyDescent="0.3">
      <c r="A59" s="56"/>
      <c r="B59" s="53"/>
      <c r="C59" s="46"/>
      <c r="D59" s="47"/>
      <c r="E59" s="46"/>
      <c r="F59" s="47"/>
      <c r="G59" s="35"/>
      <c r="H59" s="35"/>
      <c r="I59" s="21"/>
      <c r="J59" s="5"/>
      <c r="K59" s="5"/>
      <c r="L59" s="5"/>
      <c r="M59" s="5"/>
      <c r="N59" s="21"/>
      <c r="O59" s="22">
        <v>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s="25" customFormat="1" ht="19.8" customHeight="1" x14ac:dyDescent="0.3">
      <c r="A60" s="56"/>
      <c r="B60" s="53"/>
      <c r="C60" s="48" t="s">
        <v>52</v>
      </c>
      <c r="D60" s="48"/>
      <c r="E60" s="45" t="s">
        <v>178</v>
      </c>
      <c r="F60" s="45"/>
      <c r="G60" s="35">
        <v>6</v>
      </c>
      <c r="H60" s="35">
        <v>6</v>
      </c>
      <c r="I60" s="21">
        <v>6</v>
      </c>
      <c r="J60" s="5">
        <v>6</v>
      </c>
      <c r="K60" s="5">
        <v>6</v>
      </c>
      <c r="L60" s="5">
        <v>6</v>
      </c>
      <c r="M60" s="5">
        <v>4</v>
      </c>
      <c r="N60" s="21">
        <v>2</v>
      </c>
      <c r="O60" s="19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</row>
    <row r="61" spans="1:31" s="25" customFormat="1" ht="19.8" customHeight="1" x14ac:dyDescent="0.3">
      <c r="A61" s="56"/>
      <c r="B61" s="53"/>
      <c r="C61" s="48" t="s">
        <v>53</v>
      </c>
      <c r="D61" s="48"/>
      <c r="E61" s="46" t="s">
        <v>42</v>
      </c>
      <c r="F61" s="47"/>
      <c r="G61" s="35">
        <v>6</v>
      </c>
      <c r="H61" s="35">
        <v>4</v>
      </c>
      <c r="I61" s="21">
        <v>4</v>
      </c>
      <c r="J61" s="5">
        <v>4</v>
      </c>
      <c r="K61" s="5">
        <v>4</v>
      </c>
      <c r="L61" s="5">
        <v>4</v>
      </c>
      <c r="M61" s="5">
        <v>4</v>
      </c>
      <c r="N61" s="21">
        <v>2</v>
      </c>
      <c r="O61" s="19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</row>
    <row r="62" spans="1:31" s="25" customFormat="1" ht="19.8" customHeight="1" x14ac:dyDescent="0.3">
      <c r="A62" s="56"/>
      <c r="B62" s="53"/>
      <c r="C62" s="46"/>
      <c r="D62" s="47"/>
      <c r="E62" s="46"/>
      <c r="F62" s="47"/>
      <c r="G62" s="35"/>
      <c r="H62" s="35"/>
      <c r="I62" s="21"/>
      <c r="J62" s="24"/>
      <c r="K62" s="24"/>
      <c r="L62" s="24"/>
      <c r="M62" s="24"/>
      <c r="N62" s="21"/>
      <c r="O62" s="22">
        <v>2</v>
      </c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 spans="1:31" s="25" customFormat="1" ht="19.8" customHeight="1" x14ac:dyDescent="0.3">
      <c r="A63" s="56"/>
      <c r="B63" s="53"/>
      <c r="C63" s="48" t="s">
        <v>54</v>
      </c>
      <c r="D63" s="48"/>
      <c r="E63" s="46" t="s">
        <v>46</v>
      </c>
      <c r="F63" s="47"/>
      <c r="G63" s="35">
        <v>6</v>
      </c>
      <c r="H63" s="35">
        <v>6</v>
      </c>
      <c r="I63" s="21">
        <v>6</v>
      </c>
      <c r="J63" s="5">
        <v>6</v>
      </c>
      <c r="K63" s="5">
        <v>6</v>
      </c>
      <c r="L63" s="5">
        <v>6</v>
      </c>
      <c r="M63" s="5">
        <v>6</v>
      </c>
      <c r="N63" s="21">
        <v>4</v>
      </c>
      <c r="O63" s="21">
        <v>2</v>
      </c>
      <c r="P63" s="19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</row>
    <row r="64" spans="1:31" s="25" customFormat="1" ht="19.8" customHeight="1" x14ac:dyDescent="0.3">
      <c r="A64" s="56"/>
      <c r="B64" s="53"/>
      <c r="C64" s="48" t="s">
        <v>55</v>
      </c>
      <c r="D64" s="48"/>
      <c r="E64" s="46" t="s">
        <v>180</v>
      </c>
      <c r="F64" s="47"/>
      <c r="G64" s="35">
        <v>9</v>
      </c>
      <c r="H64" s="35">
        <v>7</v>
      </c>
      <c r="I64" s="21">
        <v>7</v>
      </c>
      <c r="J64" s="5">
        <v>7</v>
      </c>
      <c r="K64" s="5">
        <v>7</v>
      </c>
      <c r="L64" s="5">
        <v>7</v>
      </c>
      <c r="M64" s="5">
        <v>7</v>
      </c>
      <c r="N64" s="21">
        <v>5</v>
      </c>
      <c r="O64" s="21">
        <v>2</v>
      </c>
      <c r="P64" s="19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</row>
    <row r="65" spans="1:31" s="25" customFormat="1" ht="19.8" customHeight="1" x14ac:dyDescent="0.3">
      <c r="A65" s="56"/>
      <c r="B65" s="53"/>
      <c r="C65" s="46"/>
      <c r="D65" s="47"/>
      <c r="E65" s="46"/>
      <c r="F65" s="47"/>
      <c r="G65" s="35"/>
      <c r="H65" s="35"/>
      <c r="I65" s="21"/>
      <c r="J65" s="24"/>
      <c r="K65" s="24"/>
      <c r="L65" s="24"/>
      <c r="M65" s="24"/>
      <c r="N65" s="21"/>
      <c r="O65" s="21"/>
      <c r="P65" s="22">
        <v>2</v>
      </c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 spans="1:31" s="25" customFormat="1" ht="19.8" customHeight="1" x14ac:dyDescent="0.3">
      <c r="A66" s="56"/>
      <c r="B66" s="53"/>
      <c r="C66" s="48" t="s">
        <v>56</v>
      </c>
      <c r="D66" s="48"/>
      <c r="E66" s="46" t="s">
        <v>46</v>
      </c>
      <c r="F66" s="47"/>
      <c r="G66" s="35">
        <v>6</v>
      </c>
      <c r="H66" s="35">
        <v>6</v>
      </c>
      <c r="I66" s="21">
        <v>6</v>
      </c>
      <c r="J66" s="5">
        <v>6</v>
      </c>
      <c r="K66" s="5">
        <v>6</v>
      </c>
      <c r="L66" s="5">
        <v>6</v>
      </c>
      <c r="M66" s="5">
        <v>6</v>
      </c>
      <c r="N66" s="21">
        <v>4</v>
      </c>
      <c r="O66" s="21">
        <v>2</v>
      </c>
      <c r="P66" s="19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</row>
    <row r="67" spans="1:31" s="25" customFormat="1" ht="19.8" customHeight="1" x14ac:dyDescent="0.3">
      <c r="A67" s="56"/>
      <c r="B67" s="53"/>
      <c r="C67" s="48" t="s">
        <v>57</v>
      </c>
      <c r="D67" s="48"/>
      <c r="E67" s="46" t="s">
        <v>178</v>
      </c>
      <c r="F67" s="47"/>
      <c r="G67" s="35">
        <v>6</v>
      </c>
      <c r="H67" s="35">
        <v>6</v>
      </c>
      <c r="I67" s="21">
        <v>6</v>
      </c>
      <c r="J67" s="5">
        <v>6</v>
      </c>
      <c r="K67" s="5">
        <v>6</v>
      </c>
      <c r="L67" s="5">
        <v>6</v>
      </c>
      <c r="M67" s="5">
        <v>6</v>
      </c>
      <c r="N67" s="21">
        <v>6</v>
      </c>
      <c r="O67" s="21">
        <v>4</v>
      </c>
      <c r="P67" s="5">
        <v>2</v>
      </c>
      <c r="Q67" s="19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</row>
    <row r="68" spans="1:31" s="25" customFormat="1" ht="19.8" customHeight="1" x14ac:dyDescent="0.3">
      <c r="A68" s="56"/>
      <c r="B68" s="53"/>
      <c r="C68" s="48" t="s">
        <v>58</v>
      </c>
      <c r="D68" s="48"/>
      <c r="E68" s="46" t="s">
        <v>173</v>
      </c>
      <c r="F68" s="47"/>
      <c r="G68" s="35">
        <v>6</v>
      </c>
      <c r="H68" s="35">
        <v>6</v>
      </c>
      <c r="I68" s="21">
        <v>6</v>
      </c>
      <c r="J68" s="5">
        <v>6</v>
      </c>
      <c r="K68" s="5">
        <v>6</v>
      </c>
      <c r="L68" s="5">
        <v>6</v>
      </c>
      <c r="M68" s="5">
        <v>6</v>
      </c>
      <c r="N68" s="21">
        <v>6</v>
      </c>
      <c r="O68" s="21">
        <v>4</v>
      </c>
      <c r="P68" s="5">
        <v>2</v>
      </c>
      <c r="Q68" s="19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</row>
    <row r="69" spans="1:31" s="25" customFormat="1" ht="19.8" customHeight="1" x14ac:dyDescent="0.3">
      <c r="A69" s="56"/>
      <c r="B69" s="53"/>
      <c r="C69" s="48" t="s">
        <v>59</v>
      </c>
      <c r="D69" s="48"/>
      <c r="E69" s="46" t="s">
        <v>47</v>
      </c>
      <c r="F69" s="47"/>
      <c r="G69" s="35">
        <v>6</v>
      </c>
      <c r="H69" s="35">
        <v>6</v>
      </c>
      <c r="I69" s="21">
        <v>6</v>
      </c>
      <c r="J69" s="5">
        <v>6</v>
      </c>
      <c r="K69" s="5">
        <v>6</v>
      </c>
      <c r="L69" s="5">
        <v>6</v>
      </c>
      <c r="M69" s="5">
        <v>6</v>
      </c>
      <c r="N69" s="21">
        <v>6</v>
      </c>
      <c r="O69" s="21">
        <v>4</v>
      </c>
      <c r="P69" s="5">
        <v>2</v>
      </c>
      <c r="Q69" s="19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</row>
    <row r="70" spans="1:31" s="25" customFormat="1" ht="19.8" customHeight="1" x14ac:dyDescent="0.3">
      <c r="A70" s="56"/>
      <c r="B70" s="53"/>
      <c r="C70" s="48" t="s">
        <v>60</v>
      </c>
      <c r="D70" s="48"/>
      <c r="E70" s="46" t="s">
        <v>47</v>
      </c>
      <c r="F70" s="47"/>
      <c r="G70" s="35">
        <v>6</v>
      </c>
      <c r="H70" s="35">
        <v>6</v>
      </c>
      <c r="I70" s="21">
        <v>6</v>
      </c>
      <c r="J70" s="5">
        <v>6</v>
      </c>
      <c r="K70" s="5">
        <v>6</v>
      </c>
      <c r="L70" s="5">
        <v>6</v>
      </c>
      <c r="M70" s="5">
        <v>6</v>
      </c>
      <c r="N70" s="21">
        <v>6</v>
      </c>
      <c r="O70" s="21">
        <v>6</v>
      </c>
      <c r="P70" s="5">
        <v>4</v>
      </c>
      <c r="Q70" s="5">
        <v>2</v>
      </c>
      <c r="R70" s="19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</row>
    <row r="71" spans="1:31" s="25" customFormat="1" ht="19.8" customHeight="1" x14ac:dyDescent="0.3">
      <c r="A71" s="56"/>
      <c r="B71" s="53"/>
      <c r="C71" s="48" t="s">
        <v>61</v>
      </c>
      <c r="D71" s="48"/>
      <c r="E71" s="46" t="s">
        <v>175</v>
      </c>
      <c r="F71" s="47"/>
      <c r="G71" s="35">
        <v>8</v>
      </c>
      <c r="H71" s="35">
        <v>8</v>
      </c>
      <c r="I71" s="21">
        <v>8</v>
      </c>
      <c r="J71" s="5">
        <v>8</v>
      </c>
      <c r="K71" s="5">
        <v>8</v>
      </c>
      <c r="L71" s="5">
        <v>8</v>
      </c>
      <c r="M71" s="5">
        <v>8</v>
      </c>
      <c r="N71" s="21">
        <v>8</v>
      </c>
      <c r="O71" s="21">
        <v>5</v>
      </c>
      <c r="P71" s="5">
        <v>3</v>
      </c>
      <c r="Q71" s="5">
        <v>1</v>
      </c>
      <c r="R71" s="19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</row>
    <row r="72" spans="1:31" s="25" customFormat="1" ht="19.8" customHeight="1" x14ac:dyDescent="0.3">
      <c r="A72" s="56"/>
      <c r="B72" s="53"/>
      <c r="C72" s="48" t="s">
        <v>62</v>
      </c>
      <c r="D72" s="48"/>
      <c r="E72" s="46" t="s">
        <v>47</v>
      </c>
      <c r="F72" s="47"/>
      <c r="G72" s="35">
        <v>5</v>
      </c>
      <c r="H72" s="35">
        <v>5</v>
      </c>
      <c r="I72" s="21">
        <v>5</v>
      </c>
      <c r="J72" s="5">
        <v>5</v>
      </c>
      <c r="K72" s="5">
        <v>5</v>
      </c>
      <c r="L72" s="5">
        <v>5</v>
      </c>
      <c r="M72" s="5">
        <v>5</v>
      </c>
      <c r="N72" s="21">
        <v>5</v>
      </c>
      <c r="O72" s="21">
        <v>5</v>
      </c>
      <c r="P72" s="5">
        <v>5</v>
      </c>
      <c r="Q72" s="5">
        <v>3</v>
      </c>
      <c r="R72" s="5">
        <v>1</v>
      </c>
      <c r="S72" s="19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</row>
    <row r="73" spans="1:31" s="25" customFormat="1" ht="19.8" customHeight="1" x14ac:dyDescent="0.3">
      <c r="A73" s="56"/>
      <c r="B73" s="53"/>
      <c r="C73" s="48" t="s">
        <v>63</v>
      </c>
      <c r="D73" s="48"/>
      <c r="E73" s="46" t="s">
        <v>80</v>
      </c>
      <c r="F73" s="47"/>
      <c r="G73" s="35">
        <v>6</v>
      </c>
      <c r="H73" s="35">
        <v>6</v>
      </c>
      <c r="I73" s="21">
        <v>6</v>
      </c>
      <c r="J73" s="5">
        <v>6</v>
      </c>
      <c r="K73" s="5">
        <v>6</v>
      </c>
      <c r="L73" s="5">
        <v>6</v>
      </c>
      <c r="M73" s="5">
        <v>6</v>
      </c>
      <c r="N73" s="21">
        <v>6</v>
      </c>
      <c r="O73" s="21">
        <v>6</v>
      </c>
      <c r="P73" s="5">
        <v>6</v>
      </c>
      <c r="Q73" s="5">
        <v>4</v>
      </c>
      <c r="R73" s="5">
        <v>2</v>
      </c>
      <c r="S73" s="19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</row>
    <row r="74" spans="1:31" s="25" customFormat="1" ht="19.8" customHeight="1" x14ac:dyDescent="0.3">
      <c r="A74" s="56"/>
      <c r="B74" s="53"/>
      <c r="C74" s="48" t="s">
        <v>68</v>
      </c>
      <c r="D74" s="48"/>
      <c r="E74" s="45" t="s">
        <v>42</v>
      </c>
      <c r="F74" s="45"/>
      <c r="G74" s="35">
        <v>8</v>
      </c>
      <c r="H74" s="35">
        <v>6</v>
      </c>
      <c r="I74" s="21">
        <v>6</v>
      </c>
      <c r="J74" s="5">
        <v>6</v>
      </c>
      <c r="K74" s="5">
        <v>6</v>
      </c>
      <c r="L74" s="5">
        <v>6</v>
      </c>
      <c r="M74" s="5">
        <v>6</v>
      </c>
      <c r="N74" s="21">
        <v>6</v>
      </c>
      <c r="O74" s="21">
        <v>6</v>
      </c>
      <c r="P74" s="5">
        <v>6</v>
      </c>
      <c r="Q74" s="5">
        <v>6</v>
      </c>
      <c r="R74" s="5">
        <v>4</v>
      </c>
      <c r="S74" s="5">
        <v>2</v>
      </c>
      <c r="T74" s="19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</row>
    <row r="75" spans="1:31" s="25" customFormat="1" ht="19.8" customHeight="1" x14ac:dyDescent="0.3">
      <c r="A75" s="56"/>
      <c r="B75" s="54"/>
      <c r="C75" s="46"/>
      <c r="D75" s="47"/>
      <c r="E75" s="46"/>
      <c r="F75" s="47"/>
      <c r="G75" s="35"/>
      <c r="H75" s="35"/>
      <c r="I75" s="21"/>
      <c r="J75" s="5"/>
      <c r="K75" s="5"/>
      <c r="L75" s="5"/>
      <c r="M75" s="5"/>
      <c r="N75" s="21"/>
      <c r="O75" s="21"/>
      <c r="P75" s="5"/>
      <c r="Q75" s="5"/>
      <c r="R75" s="5"/>
      <c r="S75" s="5"/>
      <c r="T75" s="22">
        <v>2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s="25" customFormat="1" ht="19.8" customHeight="1" x14ac:dyDescent="0.3">
      <c r="A76" s="56"/>
      <c r="B76" s="55" t="s">
        <v>69</v>
      </c>
      <c r="C76" s="48" t="s">
        <v>70</v>
      </c>
      <c r="D76" s="48"/>
      <c r="E76" s="45" t="s">
        <v>76</v>
      </c>
      <c r="F76" s="45"/>
      <c r="G76" s="35">
        <v>8</v>
      </c>
      <c r="H76" s="35">
        <v>8</v>
      </c>
      <c r="I76" s="21">
        <v>8</v>
      </c>
      <c r="J76" s="21">
        <v>8</v>
      </c>
      <c r="K76" s="21">
        <v>8</v>
      </c>
      <c r="L76" s="21">
        <v>8</v>
      </c>
      <c r="M76" s="21">
        <v>8</v>
      </c>
      <c r="N76" s="21">
        <v>8</v>
      </c>
      <c r="O76" s="21">
        <v>8</v>
      </c>
      <c r="P76" s="21">
        <v>8</v>
      </c>
      <c r="Q76" s="21">
        <v>8</v>
      </c>
      <c r="R76" s="21">
        <v>5</v>
      </c>
      <c r="S76" s="21">
        <v>3</v>
      </c>
      <c r="T76" s="21">
        <v>1</v>
      </c>
      <c r="U76" s="19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</row>
    <row r="77" spans="1:31" s="25" customFormat="1" ht="19.8" customHeight="1" x14ac:dyDescent="0.3">
      <c r="A77" s="56"/>
      <c r="B77" s="55"/>
      <c r="C77" s="48" t="s">
        <v>74</v>
      </c>
      <c r="D77" s="48"/>
      <c r="E77" s="46" t="s">
        <v>155</v>
      </c>
      <c r="F77" s="47"/>
      <c r="G77" s="35">
        <v>12</v>
      </c>
      <c r="H77" s="35">
        <v>12</v>
      </c>
      <c r="I77" s="21">
        <v>12</v>
      </c>
      <c r="J77" s="21">
        <v>12</v>
      </c>
      <c r="K77" s="21">
        <v>12</v>
      </c>
      <c r="L77" s="21">
        <v>12</v>
      </c>
      <c r="M77" s="21">
        <v>12</v>
      </c>
      <c r="N77" s="21">
        <v>12</v>
      </c>
      <c r="O77" s="21">
        <v>12</v>
      </c>
      <c r="P77" s="21">
        <v>12</v>
      </c>
      <c r="Q77" s="21">
        <v>12</v>
      </c>
      <c r="R77" s="21">
        <v>12</v>
      </c>
      <c r="S77" s="21">
        <v>12</v>
      </c>
      <c r="T77" s="21">
        <v>8</v>
      </c>
      <c r="U77" s="21">
        <v>4</v>
      </c>
      <c r="V77" s="19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</row>
    <row r="78" spans="1:31" s="25" customFormat="1" ht="19.8" customHeight="1" x14ac:dyDescent="0.3">
      <c r="A78" s="56"/>
      <c r="B78" s="55"/>
      <c r="C78" s="48" t="s">
        <v>75</v>
      </c>
      <c r="D78" s="48"/>
      <c r="E78" s="46" t="s">
        <v>77</v>
      </c>
      <c r="F78" s="47"/>
      <c r="G78" s="35">
        <v>15</v>
      </c>
      <c r="H78" s="35">
        <v>14</v>
      </c>
      <c r="I78" s="21">
        <v>14</v>
      </c>
      <c r="J78" s="21">
        <v>14</v>
      </c>
      <c r="K78" s="21">
        <v>14</v>
      </c>
      <c r="L78" s="21">
        <v>14</v>
      </c>
      <c r="M78" s="21">
        <v>14</v>
      </c>
      <c r="N78" s="21">
        <v>14</v>
      </c>
      <c r="O78" s="21">
        <v>14</v>
      </c>
      <c r="P78" s="21">
        <v>14</v>
      </c>
      <c r="Q78" s="21">
        <v>14</v>
      </c>
      <c r="R78" s="21">
        <v>14</v>
      </c>
      <c r="S78" s="21">
        <v>14</v>
      </c>
      <c r="T78" s="21">
        <v>14</v>
      </c>
      <c r="U78" s="21">
        <v>10</v>
      </c>
      <c r="V78" s="21">
        <v>5</v>
      </c>
      <c r="W78" s="19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</row>
    <row r="79" spans="1:31" s="25" customFormat="1" ht="19.8" customHeight="1" x14ac:dyDescent="0.3">
      <c r="A79" s="56"/>
      <c r="B79" s="55"/>
      <c r="C79" s="46"/>
      <c r="D79" s="47"/>
      <c r="E79" s="46"/>
      <c r="F79" s="47"/>
      <c r="G79" s="35"/>
      <c r="H79" s="35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2">
        <v>1</v>
      </c>
      <c r="X79" s="21"/>
      <c r="Y79" s="21"/>
      <c r="Z79" s="21"/>
      <c r="AA79" s="21"/>
      <c r="AB79" s="21"/>
      <c r="AC79" s="21"/>
      <c r="AD79" s="21"/>
      <c r="AE79" s="21"/>
    </row>
    <row r="80" spans="1:31" s="25" customFormat="1" ht="19.8" customHeight="1" x14ac:dyDescent="0.3">
      <c r="A80" s="56"/>
      <c r="B80" s="55"/>
      <c r="C80" s="48" t="s">
        <v>71</v>
      </c>
      <c r="D80" s="48"/>
      <c r="E80" s="46" t="s">
        <v>176</v>
      </c>
      <c r="F80" s="47"/>
      <c r="G80" s="35">
        <v>14</v>
      </c>
      <c r="H80" s="35">
        <v>14</v>
      </c>
      <c r="I80" s="21">
        <v>14</v>
      </c>
      <c r="J80" s="21">
        <v>14</v>
      </c>
      <c r="K80" s="21">
        <v>14</v>
      </c>
      <c r="L80" s="21">
        <v>14</v>
      </c>
      <c r="M80" s="21">
        <v>14</v>
      </c>
      <c r="N80" s="21">
        <v>14</v>
      </c>
      <c r="O80" s="21">
        <v>14</v>
      </c>
      <c r="P80" s="21">
        <v>14</v>
      </c>
      <c r="Q80" s="21">
        <v>14</v>
      </c>
      <c r="R80" s="21">
        <v>14</v>
      </c>
      <c r="S80" s="21">
        <v>14</v>
      </c>
      <c r="T80" s="21">
        <v>14</v>
      </c>
      <c r="U80" s="21">
        <v>14</v>
      </c>
      <c r="V80" s="21">
        <v>10</v>
      </c>
      <c r="W80" s="21">
        <v>5</v>
      </c>
      <c r="X80" s="19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</row>
    <row r="81" spans="1:31" s="25" customFormat="1" ht="19.8" customHeight="1" x14ac:dyDescent="0.3">
      <c r="A81" s="56"/>
      <c r="B81" s="55"/>
      <c r="C81" s="48" t="s">
        <v>72</v>
      </c>
      <c r="D81" s="48"/>
      <c r="E81" s="46" t="s">
        <v>176</v>
      </c>
      <c r="F81" s="47"/>
      <c r="G81" s="35">
        <v>18</v>
      </c>
      <c r="H81" s="35">
        <v>16</v>
      </c>
      <c r="I81" s="21">
        <v>16</v>
      </c>
      <c r="J81" s="44">
        <v>16</v>
      </c>
      <c r="K81" s="44">
        <v>16</v>
      </c>
      <c r="L81" s="44">
        <v>16</v>
      </c>
      <c r="M81" s="44">
        <v>16</v>
      </c>
      <c r="N81" s="44">
        <v>16</v>
      </c>
      <c r="O81" s="44">
        <v>16</v>
      </c>
      <c r="P81" s="44">
        <v>16</v>
      </c>
      <c r="Q81" s="44">
        <v>16</v>
      </c>
      <c r="R81" s="44">
        <v>16</v>
      </c>
      <c r="S81" s="44">
        <v>16</v>
      </c>
      <c r="T81" s="44">
        <v>16</v>
      </c>
      <c r="U81" s="44">
        <v>16</v>
      </c>
      <c r="V81" s="44">
        <v>16</v>
      </c>
      <c r="W81" s="21">
        <v>10</v>
      </c>
      <c r="X81" s="21">
        <v>5</v>
      </c>
      <c r="Y81" s="19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</row>
    <row r="82" spans="1:31" s="25" customFormat="1" ht="19.8" customHeight="1" x14ac:dyDescent="0.3">
      <c r="A82" s="56"/>
      <c r="B82" s="55"/>
      <c r="C82" s="46"/>
      <c r="D82" s="47"/>
      <c r="E82" s="46"/>
      <c r="F82" s="47"/>
      <c r="G82" s="35"/>
      <c r="H82" s="35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2">
        <v>2</v>
      </c>
      <c r="Z82" s="21"/>
      <c r="AA82" s="21"/>
      <c r="AB82" s="21"/>
      <c r="AC82" s="21"/>
      <c r="AD82" s="21"/>
      <c r="AE82" s="21"/>
    </row>
    <row r="83" spans="1:31" s="25" customFormat="1" ht="19.8" customHeight="1" x14ac:dyDescent="0.3">
      <c r="A83" s="56"/>
      <c r="B83" s="55"/>
      <c r="C83" s="48" t="s">
        <v>91</v>
      </c>
      <c r="D83" s="48"/>
      <c r="E83" s="46" t="s">
        <v>86</v>
      </c>
      <c r="F83" s="47"/>
      <c r="G83" s="35">
        <v>10</v>
      </c>
      <c r="H83" s="35">
        <v>10</v>
      </c>
      <c r="I83" s="21">
        <v>10</v>
      </c>
      <c r="J83" s="21">
        <v>10</v>
      </c>
      <c r="K83" s="21">
        <v>10</v>
      </c>
      <c r="L83" s="21">
        <v>10</v>
      </c>
      <c r="M83" s="21">
        <v>10</v>
      </c>
      <c r="N83" s="21">
        <v>10</v>
      </c>
      <c r="O83" s="21">
        <v>10</v>
      </c>
      <c r="P83" s="21">
        <v>10</v>
      </c>
      <c r="Q83" s="21">
        <v>10</v>
      </c>
      <c r="R83" s="21">
        <v>10</v>
      </c>
      <c r="S83" s="21">
        <v>10</v>
      </c>
      <c r="T83" s="21">
        <v>10</v>
      </c>
      <c r="U83" s="21">
        <v>10</v>
      </c>
      <c r="V83" s="21">
        <v>10</v>
      </c>
      <c r="W83" s="21">
        <v>10</v>
      </c>
      <c r="X83" s="21">
        <v>10</v>
      </c>
      <c r="Y83" s="21">
        <v>5</v>
      </c>
      <c r="Z83" s="19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</row>
    <row r="84" spans="1:31" s="25" customFormat="1" ht="19.8" customHeight="1" x14ac:dyDescent="0.3">
      <c r="A84" s="56"/>
      <c r="B84" s="55"/>
      <c r="C84" s="48" t="s">
        <v>73</v>
      </c>
      <c r="D84" s="48"/>
      <c r="E84" s="46" t="s">
        <v>176</v>
      </c>
      <c r="F84" s="47"/>
      <c r="G84" s="35">
        <v>6</v>
      </c>
      <c r="H84" s="35">
        <v>6</v>
      </c>
      <c r="I84" s="21">
        <v>6</v>
      </c>
      <c r="J84" s="21">
        <v>6</v>
      </c>
      <c r="K84" s="21">
        <v>6</v>
      </c>
      <c r="L84" s="21">
        <v>6</v>
      </c>
      <c r="M84" s="21">
        <v>6</v>
      </c>
      <c r="N84" s="21">
        <v>6</v>
      </c>
      <c r="O84" s="21">
        <v>6</v>
      </c>
      <c r="P84" s="21">
        <v>6</v>
      </c>
      <c r="Q84" s="21">
        <v>6</v>
      </c>
      <c r="R84" s="21">
        <v>6</v>
      </c>
      <c r="S84" s="21">
        <v>6</v>
      </c>
      <c r="T84" s="21">
        <v>6</v>
      </c>
      <c r="U84" s="21">
        <v>6</v>
      </c>
      <c r="V84" s="21">
        <v>6</v>
      </c>
      <c r="W84" s="21">
        <v>6</v>
      </c>
      <c r="X84" s="21">
        <v>4</v>
      </c>
      <c r="Y84" s="21">
        <v>2</v>
      </c>
      <c r="Z84" s="19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</row>
    <row r="85" spans="1:31" s="25" customFormat="1" ht="19.8" customHeight="1" x14ac:dyDescent="0.3">
      <c r="A85" s="56"/>
      <c r="B85" s="55" t="s">
        <v>81</v>
      </c>
      <c r="C85" s="48" t="s">
        <v>82</v>
      </c>
      <c r="D85" s="48"/>
      <c r="E85" s="46" t="s">
        <v>44</v>
      </c>
      <c r="F85" s="47"/>
      <c r="G85" s="35">
        <v>5</v>
      </c>
      <c r="H85" s="35">
        <v>6</v>
      </c>
      <c r="I85" s="21">
        <v>6</v>
      </c>
      <c r="J85" s="5">
        <v>6</v>
      </c>
      <c r="K85" s="5">
        <v>6</v>
      </c>
      <c r="L85" s="5">
        <v>6</v>
      </c>
      <c r="M85" s="5">
        <v>6</v>
      </c>
      <c r="N85" s="5">
        <v>6</v>
      </c>
      <c r="O85" s="5">
        <v>6</v>
      </c>
      <c r="P85" s="5">
        <v>6</v>
      </c>
      <c r="Q85" s="5">
        <v>6</v>
      </c>
      <c r="R85" s="5">
        <v>6</v>
      </c>
      <c r="S85" s="5">
        <v>6</v>
      </c>
      <c r="T85" s="5">
        <v>6</v>
      </c>
      <c r="U85" s="5">
        <v>6</v>
      </c>
      <c r="V85" s="5">
        <v>6</v>
      </c>
      <c r="W85" s="5">
        <v>6</v>
      </c>
      <c r="X85" s="5">
        <v>6</v>
      </c>
      <c r="Y85" s="5">
        <v>4</v>
      </c>
      <c r="Z85" s="5">
        <v>2</v>
      </c>
      <c r="AA85" s="19">
        <v>0</v>
      </c>
      <c r="AB85" s="5">
        <v>0</v>
      </c>
      <c r="AC85" s="5">
        <v>0</v>
      </c>
      <c r="AD85" s="21">
        <v>0</v>
      </c>
      <c r="AE85" s="5">
        <v>0</v>
      </c>
    </row>
    <row r="86" spans="1:31" s="25" customFormat="1" ht="19.8" customHeight="1" x14ac:dyDescent="0.3">
      <c r="A86" s="56"/>
      <c r="B86" s="55"/>
      <c r="C86" s="46"/>
      <c r="D86" s="47"/>
      <c r="E86" s="46"/>
      <c r="F86" s="47"/>
      <c r="G86" s="35"/>
      <c r="H86" s="35"/>
      <c r="I86" s="2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20">
        <v>1</v>
      </c>
      <c r="AB86" s="5"/>
      <c r="AC86" s="5"/>
      <c r="AD86" s="21"/>
      <c r="AE86" s="5"/>
    </row>
    <row r="87" spans="1:31" s="25" customFormat="1" ht="19.8" customHeight="1" x14ac:dyDescent="0.3">
      <c r="A87" s="56"/>
      <c r="B87" s="55"/>
      <c r="C87" s="48" t="s">
        <v>92</v>
      </c>
      <c r="D87" s="48"/>
      <c r="E87" s="46" t="s">
        <v>77</v>
      </c>
      <c r="F87" s="47"/>
      <c r="G87" s="35">
        <v>3</v>
      </c>
      <c r="H87" s="35">
        <v>4</v>
      </c>
      <c r="I87" s="21">
        <v>4</v>
      </c>
      <c r="J87" s="5">
        <v>4</v>
      </c>
      <c r="K87" s="5">
        <v>4</v>
      </c>
      <c r="L87" s="5">
        <v>4</v>
      </c>
      <c r="M87" s="5">
        <v>4</v>
      </c>
      <c r="N87" s="5">
        <v>4</v>
      </c>
      <c r="O87" s="5">
        <v>4</v>
      </c>
      <c r="P87" s="5">
        <v>4</v>
      </c>
      <c r="Q87" s="5">
        <v>4</v>
      </c>
      <c r="R87" s="5">
        <v>4</v>
      </c>
      <c r="S87" s="5">
        <v>4</v>
      </c>
      <c r="T87" s="5">
        <v>4</v>
      </c>
      <c r="U87" s="5">
        <v>4</v>
      </c>
      <c r="V87" s="5">
        <v>4</v>
      </c>
      <c r="W87" s="5">
        <v>4</v>
      </c>
      <c r="X87" s="5">
        <v>4</v>
      </c>
      <c r="Y87" s="5">
        <v>4</v>
      </c>
      <c r="Z87" s="5">
        <v>2</v>
      </c>
      <c r="AA87" s="19">
        <v>0</v>
      </c>
      <c r="AB87" s="21">
        <v>0</v>
      </c>
      <c r="AC87" s="21">
        <v>0</v>
      </c>
      <c r="AD87" s="21">
        <v>0</v>
      </c>
      <c r="AE87" s="21">
        <v>0</v>
      </c>
    </row>
    <row r="88" spans="1:31" s="25" customFormat="1" ht="19.8" customHeight="1" x14ac:dyDescent="0.3">
      <c r="A88" s="56"/>
      <c r="B88" s="55"/>
      <c r="C88" s="46"/>
      <c r="D88" s="47"/>
      <c r="E88" s="46"/>
      <c r="F88" s="47"/>
      <c r="G88" s="35"/>
      <c r="H88" s="35"/>
      <c r="I88" s="2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20">
        <v>1</v>
      </c>
      <c r="AB88" s="21"/>
      <c r="AC88" s="21"/>
      <c r="AD88" s="21"/>
      <c r="AE88" s="21"/>
    </row>
    <row r="89" spans="1:31" s="25" customFormat="1" ht="19.8" customHeight="1" x14ac:dyDescent="0.3">
      <c r="A89" s="56"/>
      <c r="B89" s="55"/>
      <c r="C89" s="48" t="s">
        <v>93</v>
      </c>
      <c r="D89" s="48"/>
      <c r="E89" s="46" t="s">
        <v>78</v>
      </c>
      <c r="F89" s="47"/>
      <c r="G89" s="35">
        <v>7</v>
      </c>
      <c r="H89" s="35">
        <v>7</v>
      </c>
      <c r="I89" s="21">
        <v>7</v>
      </c>
      <c r="J89" s="5">
        <v>7</v>
      </c>
      <c r="K89" s="5">
        <v>7</v>
      </c>
      <c r="L89" s="5">
        <v>7</v>
      </c>
      <c r="M89" s="5">
        <v>7</v>
      </c>
      <c r="N89" s="5">
        <v>7</v>
      </c>
      <c r="O89" s="5">
        <v>7</v>
      </c>
      <c r="P89" s="5">
        <v>7</v>
      </c>
      <c r="Q89" s="5">
        <v>7</v>
      </c>
      <c r="R89" s="5">
        <v>7</v>
      </c>
      <c r="S89" s="5">
        <v>7</v>
      </c>
      <c r="T89" s="5">
        <v>7</v>
      </c>
      <c r="U89" s="5">
        <v>7</v>
      </c>
      <c r="V89" s="5">
        <v>7</v>
      </c>
      <c r="W89" s="5">
        <v>7</v>
      </c>
      <c r="X89" s="5">
        <v>7</v>
      </c>
      <c r="Y89" s="5">
        <v>7</v>
      </c>
      <c r="Z89" s="5">
        <v>4</v>
      </c>
      <c r="AA89" s="21">
        <v>2</v>
      </c>
      <c r="AB89" s="19">
        <v>0</v>
      </c>
      <c r="AC89" s="21">
        <v>0</v>
      </c>
      <c r="AD89" s="21">
        <v>0</v>
      </c>
      <c r="AE89" s="21">
        <v>0</v>
      </c>
    </row>
    <row r="90" spans="1:31" s="25" customFormat="1" ht="19.8" customHeight="1" x14ac:dyDescent="0.3">
      <c r="A90" s="56"/>
      <c r="B90" s="55"/>
      <c r="C90" s="48" t="s">
        <v>94</v>
      </c>
      <c r="D90" s="48"/>
      <c r="E90" s="46" t="s">
        <v>181</v>
      </c>
      <c r="F90" s="47"/>
      <c r="G90" s="35">
        <v>7</v>
      </c>
      <c r="H90" s="35">
        <v>7</v>
      </c>
      <c r="I90" s="21">
        <v>7</v>
      </c>
      <c r="J90" s="5">
        <v>7</v>
      </c>
      <c r="K90" s="5">
        <v>7</v>
      </c>
      <c r="L90" s="5">
        <v>7</v>
      </c>
      <c r="M90" s="5">
        <v>7</v>
      </c>
      <c r="N90" s="5">
        <v>7</v>
      </c>
      <c r="O90" s="5">
        <v>7</v>
      </c>
      <c r="P90" s="5">
        <v>7</v>
      </c>
      <c r="Q90" s="5">
        <v>7</v>
      </c>
      <c r="R90" s="5">
        <v>7</v>
      </c>
      <c r="S90" s="5">
        <v>7</v>
      </c>
      <c r="T90" s="5">
        <v>7</v>
      </c>
      <c r="U90" s="5">
        <v>7</v>
      </c>
      <c r="V90" s="5">
        <v>7</v>
      </c>
      <c r="W90" s="5">
        <v>7</v>
      </c>
      <c r="X90" s="5">
        <v>7</v>
      </c>
      <c r="Y90" s="5">
        <v>7</v>
      </c>
      <c r="Z90" s="5">
        <v>4</v>
      </c>
      <c r="AA90" s="21">
        <v>2</v>
      </c>
      <c r="AB90" s="19">
        <v>0</v>
      </c>
      <c r="AC90" s="21">
        <v>0</v>
      </c>
      <c r="AD90" s="21">
        <v>0</v>
      </c>
      <c r="AE90" s="21">
        <v>0</v>
      </c>
    </row>
    <row r="91" spans="1:31" s="25" customFormat="1" ht="19.8" customHeight="1" x14ac:dyDescent="0.3">
      <c r="A91" s="56"/>
      <c r="B91" s="55"/>
      <c r="C91" s="70" t="s">
        <v>83</v>
      </c>
      <c r="D91" s="71"/>
      <c r="E91" s="46" t="s">
        <v>173</v>
      </c>
      <c r="F91" s="47"/>
      <c r="G91" s="35">
        <v>6</v>
      </c>
      <c r="H91" s="35">
        <v>6</v>
      </c>
      <c r="I91" s="21">
        <v>6</v>
      </c>
      <c r="J91" s="5">
        <v>6</v>
      </c>
      <c r="K91" s="5">
        <v>6</v>
      </c>
      <c r="L91" s="5">
        <v>6</v>
      </c>
      <c r="M91" s="5">
        <v>6</v>
      </c>
      <c r="N91" s="5">
        <v>6</v>
      </c>
      <c r="O91" s="5">
        <v>6</v>
      </c>
      <c r="P91" s="5">
        <v>6</v>
      </c>
      <c r="Q91" s="5">
        <v>6</v>
      </c>
      <c r="R91" s="5">
        <v>6</v>
      </c>
      <c r="S91" s="5">
        <v>6</v>
      </c>
      <c r="T91" s="5">
        <v>6</v>
      </c>
      <c r="U91" s="5">
        <v>6</v>
      </c>
      <c r="V91" s="5">
        <v>6</v>
      </c>
      <c r="W91" s="5">
        <v>6</v>
      </c>
      <c r="X91" s="5">
        <v>6</v>
      </c>
      <c r="Y91" s="5">
        <v>6</v>
      </c>
      <c r="Z91" s="5">
        <v>6</v>
      </c>
      <c r="AA91" s="21">
        <v>4</v>
      </c>
      <c r="AB91" s="21">
        <v>2</v>
      </c>
      <c r="AC91" s="19">
        <v>0</v>
      </c>
      <c r="AD91" s="21">
        <v>0</v>
      </c>
      <c r="AE91" s="21">
        <v>0</v>
      </c>
    </row>
    <row r="92" spans="1:31" s="25" customFormat="1" ht="19.8" customHeight="1" x14ac:dyDescent="0.3">
      <c r="A92" s="56"/>
      <c r="B92" s="55"/>
      <c r="C92" s="70" t="s">
        <v>84</v>
      </c>
      <c r="D92" s="71"/>
      <c r="E92" s="46" t="s">
        <v>180</v>
      </c>
      <c r="F92" s="47"/>
      <c r="G92" s="35">
        <v>8</v>
      </c>
      <c r="H92" s="35">
        <v>5</v>
      </c>
      <c r="I92" s="21">
        <v>5</v>
      </c>
      <c r="J92" s="5">
        <v>5</v>
      </c>
      <c r="K92" s="5">
        <v>5</v>
      </c>
      <c r="L92" s="5">
        <v>5</v>
      </c>
      <c r="M92" s="5">
        <v>5</v>
      </c>
      <c r="N92" s="5">
        <v>5</v>
      </c>
      <c r="O92" s="5">
        <v>5</v>
      </c>
      <c r="P92" s="5">
        <v>5</v>
      </c>
      <c r="Q92" s="5">
        <v>5</v>
      </c>
      <c r="R92" s="5">
        <v>5</v>
      </c>
      <c r="S92" s="5">
        <v>5</v>
      </c>
      <c r="T92" s="5">
        <v>5</v>
      </c>
      <c r="U92" s="5">
        <v>5</v>
      </c>
      <c r="V92" s="5">
        <v>5</v>
      </c>
      <c r="W92" s="5">
        <v>5</v>
      </c>
      <c r="X92" s="5">
        <v>5</v>
      </c>
      <c r="Y92" s="5">
        <v>5</v>
      </c>
      <c r="Z92" s="5">
        <v>5</v>
      </c>
      <c r="AA92" s="21">
        <v>3</v>
      </c>
      <c r="AB92" s="21">
        <v>1</v>
      </c>
      <c r="AC92" s="19">
        <v>0</v>
      </c>
      <c r="AD92" s="21">
        <v>0</v>
      </c>
      <c r="AE92" s="21">
        <v>0</v>
      </c>
    </row>
    <row r="93" spans="1:31" s="25" customFormat="1" ht="19.8" customHeight="1" x14ac:dyDescent="0.3">
      <c r="A93" s="56"/>
      <c r="B93" s="55"/>
      <c r="C93" s="46"/>
      <c r="D93" s="47"/>
      <c r="E93" s="46"/>
      <c r="F93" s="47"/>
      <c r="G93" s="35"/>
      <c r="H93" s="35"/>
      <c r="I93" s="2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21"/>
      <c r="AB93" s="21"/>
      <c r="AC93" s="22">
        <v>3</v>
      </c>
      <c r="AD93" s="21"/>
      <c r="AE93" s="21"/>
    </row>
    <row r="94" spans="1:31" s="25" customFormat="1" ht="19.8" customHeight="1" x14ac:dyDescent="0.3">
      <c r="A94" s="56"/>
      <c r="B94" s="55"/>
      <c r="C94" s="48" t="s">
        <v>85</v>
      </c>
      <c r="D94" s="48"/>
      <c r="E94" s="46" t="s">
        <v>155</v>
      </c>
      <c r="F94" s="47"/>
      <c r="G94" s="35">
        <v>5</v>
      </c>
      <c r="H94" s="35">
        <v>5</v>
      </c>
      <c r="I94" s="21">
        <v>5</v>
      </c>
      <c r="J94" s="5">
        <v>5</v>
      </c>
      <c r="K94" s="5">
        <v>5</v>
      </c>
      <c r="L94" s="5">
        <v>5</v>
      </c>
      <c r="M94" s="5">
        <v>5</v>
      </c>
      <c r="N94" s="5">
        <v>5</v>
      </c>
      <c r="O94" s="5">
        <v>5</v>
      </c>
      <c r="P94" s="5">
        <v>5</v>
      </c>
      <c r="Q94" s="5">
        <v>5</v>
      </c>
      <c r="R94" s="5">
        <v>5</v>
      </c>
      <c r="S94" s="5">
        <v>5</v>
      </c>
      <c r="T94" s="5">
        <v>5</v>
      </c>
      <c r="U94" s="5">
        <v>5</v>
      </c>
      <c r="V94" s="5">
        <v>5</v>
      </c>
      <c r="W94" s="5">
        <v>5</v>
      </c>
      <c r="X94" s="5">
        <v>5</v>
      </c>
      <c r="Y94" s="5">
        <v>5</v>
      </c>
      <c r="Z94" s="5">
        <v>5</v>
      </c>
      <c r="AA94" s="5">
        <v>5</v>
      </c>
      <c r="AB94" s="5">
        <v>5</v>
      </c>
      <c r="AC94" s="5">
        <v>3</v>
      </c>
      <c r="AD94" s="19">
        <v>0</v>
      </c>
      <c r="AE94" s="5">
        <v>0</v>
      </c>
    </row>
    <row r="95" spans="1:31" s="25" customFormat="1" ht="19.8" customHeight="1" x14ac:dyDescent="0.3">
      <c r="A95" s="56"/>
      <c r="B95" s="55" t="s">
        <v>87</v>
      </c>
      <c r="C95" s="48" t="s">
        <v>88</v>
      </c>
      <c r="D95" s="48"/>
      <c r="E95" s="57" t="s">
        <v>90</v>
      </c>
      <c r="F95" s="57"/>
      <c r="G95" s="35">
        <v>5</v>
      </c>
      <c r="H95" s="35">
        <v>5</v>
      </c>
      <c r="I95" s="21">
        <v>5</v>
      </c>
      <c r="J95" s="21">
        <v>5</v>
      </c>
      <c r="K95" s="21">
        <v>5</v>
      </c>
      <c r="L95" s="21">
        <v>5</v>
      </c>
      <c r="M95" s="21">
        <v>5</v>
      </c>
      <c r="N95" s="21">
        <v>5</v>
      </c>
      <c r="O95" s="21">
        <v>5</v>
      </c>
      <c r="P95" s="21">
        <v>5</v>
      </c>
      <c r="Q95" s="21">
        <v>5</v>
      </c>
      <c r="R95" s="21">
        <v>5</v>
      </c>
      <c r="S95" s="21">
        <v>5</v>
      </c>
      <c r="T95" s="21">
        <v>5</v>
      </c>
      <c r="U95" s="21">
        <v>5</v>
      </c>
      <c r="V95" s="21">
        <v>5</v>
      </c>
      <c r="W95" s="21">
        <v>5</v>
      </c>
      <c r="X95" s="21">
        <v>5</v>
      </c>
      <c r="Y95" s="21">
        <v>5</v>
      </c>
      <c r="Z95" s="21">
        <v>5</v>
      </c>
      <c r="AA95" s="21">
        <v>5</v>
      </c>
      <c r="AB95" s="21">
        <v>5</v>
      </c>
      <c r="AC95" s="21">
        <v>5</v>
      </c>
      <c r="AD95" s="21">
        <v>5</v>
      </c>
      <c r="AE95" s="19">
        <v>0</v>
      </c>
    </row>
    <row r="96" spans="1:31" s="25" customFormat="1" ht="19.8" customHeight="1" x14ac:dyDescent="0.3">
      <c r="A96" s="56"/>
      <c r="B96" s="55"/>
      <c r="C96" s="48" t="s">
        <v>89</v>
      </c>
      <c r="D96" s="48"/>
      <c r="E96" s="57" t="s">
        <v>90</v>
      </c>
      <c r="F96" s="57"/>
      <c r="G96" s="35">
        <v>5</v>
      </c>
      <c r="H96" s="35">
        <v>5</v>
      </c>
      <c r="I96" s="21">
        <v>5</v>
      </c>
      <c r="J96" s="21">
        <v>5</v>
      </c>
      <c r="K96" s="21">
        <v>5</v>
      </c>
      <c r="L96" s="21">
        <v>5</v>
      </c>
      <c r="M96" s="21">
        <v>5</v>
      </c>
      <c r="N96" s="21">
        <v>5</v>
      </c>
      <c r="O96" s="21">
        <v>5</v>
      </c>
      <c r="P96" s="21">
        <v>5</v>
      </c>
      <c r="Q96" s="21">
        <v>5</v>
      </c>
      <c r="R96" s="21">
        <v>5</v>
      </c>
      <c r="S96" s="21">
        <v>5</v>
      </c>
      <c r="T96" s="21">
        <v>5</v>
      </c>
      <c r="U96" s="21">
        <v>5</v>
      </c>
      <c r="V96" s="21">
        <v>5</v>
      </c>
      <c r="W96" s="21">
        <v>5</v>
      </c>
      <c r="X96" s="21">
        <v>5</v>
      </c>
      <c r="Y96" s="21">
        <v>5</v>
      </c>
      <c r="Z96" s="21">
        <v>5</v>
      </c>
      <c r="AA96" s="21">
        <v>5</v>
      </c>
      <c r="AB96" s="21">
        <v>5</v>
      </c>
      <c r="AC96" s="21">
        <v>5</v>
      </c>
      <c r="AD96" s="21">
        <v>5</v>
      </c>
      <c r="AE96" s="19">
        <v>0</v>
      </c>
    </row>
    <row r="97" spans="1:31" s="25" customFormat="1" ht="19.8" customHeight="1" x14ac:dyDescent="0.3">
      <c r="A97" s="56"/>
      <c r="B97" s="59" t="s">
        <v>11</v>
      </c>
      <c r="C97" s="60"/>
      <c r="D97" s="61"/>
      <c r="E97" s="58" t="s">
        <v>10</v>
      </c>
      <c r="F97" s="58"/>
      <c r="G97" s="66">
        <f>SUM(G16:G96)</f>
        <v>412</v>
      </c>
      <c r="H97" s="67"/>
      <c r="I97" s="21">
        <f>SUM(I16:I96)</f>
        <v>400</v>
      </c>
      <c r="J97" s="5">
        <f>SUM(J16:J96) - J18*2</f>
        <v>369</v>
      </c>
      <c r="K97" s="5">
        <f>SUM(K16:K96)</f>
        <v>352</v>
      </c>
      <c r="L97" s="5">
        <f>SUM(L16:L96)</f>
        <v>326</v>
      </c>
      <c r="M97" s="5">
        <f>SUM(M16:M96)</f>
        <v>295</v>
      </c>
      <c r="N97" s="5">
        <f>SUM(N16:N96) - (N36*2)</f>
        <v>260</v>
      </c>
      <c r="O97" s="5">
        <f>SUM(O16:O96) + O59 + O62 - O59 - O62</f>
        <v>224</v>
      </c>
      <c r="P97" s="5">
        <f>SUM(P16:P96) + P65 - P65</f>
        <v>192</v>
      </c>
      <c r="Q97" s="5">
        <f>SUM(Q16:Q96)</f>
        <v>162</v>
      </c>
      <c r="R97" s="5">
        <f>SUM(R16:R96) + R50 - R50</f>
        <v>142</v>
      </c>
      <c r="S97" s="5">
        <f>SUM(S16:S96)</f>
        <v>129</v>
      </c>
      <c r="T97" s="5">
        <f>SUM(T16:T96) + T54 + T75 - T54 - T75</f>
        <v>123</v>
      </c>
      <c r="U97" s="5">
        <f>SUM(U16:U96)</f>
        <v>110</v>
      </c>
      <c r="V97" s="5">
        <f>SUM(V16:V96)</f>
        <v>97</v>
      </c>
      <c r="W97" s="5">
        <f>SUM(W16:W96) + W79 - W79</f>
        <v>82</v>
      </c>
      <c r="X97" s="5">
        <f>SUM(X16:X96)</f>
        <v>69</v>
      </c>
      <c r="Y97" s="5">
        <f>SUM(Y16:Y96) + Y82 - Y82</f>
        <v>57</v>
      </c>
      <c r="Z97" s="5">
        <f>SUM(Z16:Z96)</f>
        <v>38</v>
      </c>
      <c r="AA97" s="5">
        <f>SUM(AA16:AA96) - (AA86*2) - (AA88*2)</f>
        <v>24</v>
      </c>
      <c r="AB97" s="5">
        <f>SUM(AB16:AB96)</f>
        <v>18</v>
      </c>
      <c r="AC97" s="5">
        <f>SUM(AC16:AC96) + AC93 - AC93</f>
        <v>16</v>
      </c>
      <c r="AD97" s="5">
        <f>SUM(AD16:AD96)</f>
        <v>10</v>
      </c>
      <c r="AE97" s="5">
        <f>SUM(AE16:AE96)</f>
        <v>0</v>
      </c>
    </row>
    <row r="98" spans="1:31" s="25" customFormat="1" ht="19.8" customHeight="1" x14ac:dyDescent="0.3">
      <c r="A98" s="56"/>
      <c r="B98" s="62"/>
      <c r="C98" s="63"/>
      <c r="D98" s="64"/>
      <c r="E98" s="58" t="s">
        <v>14</v>
      </c>
      <c r="F98" s="58"/>
      <c r="G98" s="66">
        <f>SUM(H16:H96)</f>
        <v>400</v>
      </c>
      <c r="H98" s="67"/>
      <c r="I98" s="21">
        <f>SUM(I16:I96)</f>
        <v>400</v>
      </c>
      <c r="J98" s="5">
        <f>SUM(J16:J96) - J18</f>
        <v>370</v>
      </c>
      <c r="K98" s="5">
        <f>SUM(K16:K96)</f>
        <v>352</v>
      </c>
      <c r="L98" s="5">
        <f>SUM(L16:L96)</f>
        <v>326</v>
      </c>
      <c r="M98" s="24">
        <f>SUM(M16:M96)</f>
        <v>295</v>
      </c>
      <c r="N98" s="5">
        <f>SUM(N16:N96) - N36</f>
        <v>261</v>
      </c>
      <c r="O98" s="5">
        <f>SUM(O16:O96) - O59 - O62</f>
        <v>221</v>
      </c>
      <c r="P98" s="5">
        <f>SUM(P16:P96) - P65</f>
        <v>190</v>
      </c>
      <c r="Q98" s="5">
        <f t="shared" ref="Q98:AE98" si="0">SUM(Q16:Q96)</f>
        <v>162</v>
      </c>
      <c r="R98" s="5">
        <f>SUM(R16:R96) - R50</f>
        <v>141</v>
      </c>
      <c r="S98" s="5">
        <f t="shared" si="0"/>
        <v>129</v>
      </c>
      <c r="T98" s="5">
        <f>SUM(T16:T96) - T54 - T75</f>
        <v>119</v>
      </c>
      <c r="U98" s="5">
        <f t="shared" si="0"/>
        <v>110</v>
      </c>
      <c r="V98" s="5">
        <f t="shared" si="0"/>
        <v>97</v>
      </c>
      <c r="W98" s="5">
        <f>SUM(W16:W96) - W79</f>
        <v>81</v>
      </c>
      <c r="X98" s="5">
        <f t="shared" si="0"/>
        <v>69</v>
      </c>
      <c r="Y98" s="5">
        <f>SUM(Y16:Y96) - Y82</f>
        <v>55</v>
      </c>
      <c r="Z98" s="5">
        <f t="shared" si="0"/>
        <v>38</v>
      </c>
      <c r="AA98" s="5">
        <f>SUM(AA16:AA96) - AA86 - AA88</f>
        <v>26</v>
      </c>
      <c r="AB98" s="5">
        <f t="shared" si="0"/>
        <v>18</v>
      </c>
      <c r="AC98" s="5">
        <f>SUM(AC16:AC96) - AC93</f>
        <v>13</v>
      </c>
      <c r="AD98" s="5">
        <f t="shared" si="0"/>
        <v>10</v>
      </c>
      <c r="AE98" s="5">
        <f t="shared" si="0"/>
        <v>0</v>
      </c>
    </row>
  </sheetData>
  <mergeCells count="183">
    <mergeCell ref="E35:F35"/>
    <mergeCell ref="E46:F46"/>
    <mergeCell ref="E39:F39"/>
    <mergeCell ref="E40:F40"/>
    <mergeCell ref="C40:D40"/>
    <mergeCell ref="C41:D41"/>
    <mergeCell ref="E66:F66"/>
    <mergeCell ref="E76:F76"/>
    <mergeCell ref="E81:F81"/>
    <mergeCell ref="E41:F41"/>
    <mergeCell ref="E42:F42"/>
    <mergeCell ref="E43:F43"/>
    <mergeCell ref="E44:F44"/>
    <mergeCell ref="E47:F47"/>
    <mergeCell ref="E48:F48"/>
    <mergeCell ref="E49:F49"/>
    <mergeCell ref="E58:F58"/>
    <mergeCell ref="E57:F57"/>
    <mergeCell ref="G98:H98"/>
    <mergeCell ref="C95:D95"/>
    <mergeCell ref="C86:D86"/>
    <mergeCell ref="C68:D68"/>
    <mergeCell ref="C66:D66"/>
    <mergeCell ref="C69:D69"/>
    <mergeCell ref="C64:D64"/>
    <mergeCell ref="C58:D58"/>
    <mergeCell ref="C61:D61"/>
    <mergeCell ref="C81:D81"/>
    <mergeCell ref="C76:D76"/>
    <mergeCell ref="C70:D70"/>
    <mergeCell ref="C73:D73"/>
    <mergeCell ref="E68:F68"/>
    <mergeCell ref="C67:D67"/>
    <mergeCell ref="C74:D74"/>
    <mergeCell ref="C78:D78"/>
    <mergeCell ref="C80:D80"/>
    <mergeCell ref="E62:F62"/>
    <mergeCell ref="C62:D62"/>
    <mergeCell ref="E61:F61"/>
    <mergeCell ref="E85:F85"/>
    <mergeCell ref="E92:F92"/>
    <mergeCell ref="C91:D91"/>
    <mergeCell ref="E96:F96"/>
    <mergeCell ref="E65:F65"/>
    <mergeCell ref="C65:D65"/>
    <mergeCell ref="G97:H97"/>
    <mergeCell ref="B85:B94"/>
    <mergeCell ref="B6:E6"/>
    <mergeCell ref="B13:C13"/>
    <mergeCell ref="C15:D15"/>
    <mergeCell ref="E15:F15"/>
    <mergeCell ref="C20:D20"/>
    <mergeCell ref="C21:D21"/>
    <mergeCell ref="C22:D22"/>
    <mergeCell ref="C23:D23"/>
    <mergeCell ref="C35:D35"/>
    <mergeCell ref="E38:F38"/>
    <mergeCell ref="E91:F91"/>
    <mergeCell ref="B19:B34"/>
    <mergeCell ref="E37:F37"/>
    <mergeCell ref="C92:D92"/>
    <mergeCell ref="E79:F79"/>
    <mergeCell ref="C71:D71"/>
    <mergeCell ref="C37:D37"/>
    <mergeCell ref="C38:D38"/>
    <mergeCell ref="C52:D52"/>
    <mergeCell ref="A1:B1"/>
    <mergeCell ref="A2:B2"/>
    <mergeCell ref="A3:B3"/>
    <mergeCell ref="A4:B4"/>
    <mergeCell ref="C19:D19"/>
    <mergeCell ref="E25:F25"/>
    <mergeCell ref="E24:F24"/>
    <mergeCell ref="E34:F34"/>
    <mergeCell ref="E33:F33"/>
    <mergeCell ref="E32:F32"/>
    <mergeCell ref="E31:F31"/>
    <mergeCell ref="E30:F30"/>
    <mergeCell ref="E29:F29"/>
    <mergeCell ref="E28:F28"/>
    <mergeCell ref="C24:D24"/>
    <mergeCell ref="C25:D25"/>
    <mergeCell ref="C26:D26"/>
    <mergeCell ref="C27:D27"/>
    <mergeCell ref="C32:D32"/>
    <mergeCell ref="C31:D31"/>
    <mergeCell ref="C33:D33"/>
    <mergeCell ref="A16:A98"/>
    <mergeCell ref="E95:F95"/>
    <mergeCell ref="E64:F64"/>
    <mergeCell ref="E97:F97"/>
    <mergeCell ref="E98:F98"/>
    <mergeCell ref="B97:D98"/>
    <mergeCell ref="E94:F94"/>
    <mergeCell ref="E67:F67"/>
    <mergeCell ref="E16:F16"/>
    <mergeCell ref="E17:F17"/>
    <mergeCell ref="E18:F18"/>
    <mergeCell ref="E19:F19"/>
    <mergeCell ref="E77:F77"/>
    <mergeCell ref="C75:D75"/>
    <mergeCell ref="C84:D84"/>
    <mergeCell ref="C83:D83"/>
    <mergeCell ref="C77:D77"/>
    <mergeCell ref="E59:F59"/>
    <mergeCell ref="C59:D59"/>
    <mergeCell ref="B95:B96"/>
    <mergeCell ref="C79:D79"/>
    <mergeCell ref="C94:D94"/>
    <mergeCell ref="C90:D90"/>
    <mergeCell ref="C72:D72"/>
    <mergeCell ref="C96:D96"/>
    <mergeCell ref="C88:D88"/>
    <mergeCell ref="B76:B84"/>
    <mergeCell ref="B55:B75"/>
    <mergeCell ref="E72:F72"/>
    <mergeCell ref="E69:F69"/>
    <mergeCell ref="E70:F70"/>
    <mergeCell ref="E73:F73"/>
    <mergeCell ref="E74:F74"/>
    <mergeCell ref="E93:F93"/>
    <mergeCell ref="C93:D93"/>
    <mergeCell ref="C57:D57"/>
    <mergeCell ref="C60:D60"/>
    <mergeCell ref="C63:D63"/>
    <mergeCell ref="E60:F60"/>
    <mergeCell ref="E63:F63"/>
    <mergeCell ref="E75:F75"/>
    <mergeCell ref="E84:F84"/>
    <mergeCell ref="E83:F83"/>
    <mergeCell ref="E82:F82"/>
    <mergeCell ref="E71:F71"/>
    <mergeCell ref="E78:F78"/>
    <mergeCell ref="E80:F80"/>
    <mergeCell ref="E88:F88"/>
    <mergeCell ref="E90:F90"/>
    <mergeCell ref="E55:F55"/>
    <mergeCell ref="E56:F56"/>
    <mergeCell ref="B16:B18"/>
    <mergeCell ref="C18:D18"/>
    <mergeCell ref="C17:D17"/>
    <mergeCell ref="C16:D16"/>
    <mergeCell ref="E54:F54"/>
    <mergeCell ref="C54:D54"/>
    <mergeCell ref="E36:F36"/>
    <mergeCell ref="C36:D36"/>
    <mergeCell ref="B35:B54"/>
    <mergeCell ref="E51:F51"/>
    <mergeCell ref="C43:D43"/>
    <mergeCell ref="C44:D44"/>
    <mergeCell ref="C45:D45"/>
    <mergeCell ref="C46:D46"/>
    <mergeCell ref="C47:D47"/>
    <mergeCell ref="C48:D48"/>
    <mergeCell ref="C49:D49"/>
    <mergeCell ref="C51:D51"/>
    <mergeCell ref="C89:D89"/>
    <mergeCell ref="C82:D82"/>
    <mergeCell ref="C85:D85"/>
    <mergeCell ref="E20:F20"/>
    <mergeCell ref="E21:F21"/>
    <mergeCell ref="E23:F23"/>
    <mergeCell ref="E45:F45"/>
    <mergeCell ref="C30:D30"/>
    <mergeCell ref="C29:D29"/>
    <mergeCell ref="E86:F86"/>
    <mergeCell ref="E87:F87"/>
    <mergeCell ref="E89:F89"/>
    <mergeCell ref="C87:D87"/>
    <mergeCell ref="C28:D28"/>
    <mergeCell ref="C34:D34"/>
    <mergeCell ref="E22:F22"/>
    <mergeCell ref="E27:F27"/>
    <mergeCell ref="E26:F26"/>
    <mergeCell ref="C53:D53"/>
    <mergeCell ref="C50:D50"/>
    <mergeCell ref="C39:D39"/>
    <mergeCell ref="C42:D42"/>
    <mergeCell ref="E50:F50"/>
    <mergeCell ref="E52:F52"/>
    <mergeCell ref="E53:F53"/>
    <mergeCell ref="C55:D55"/>
    <mergeCell ref="C56:D5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A0EB-28A4-4479-B851-5A881F543FF3}">
  <dimension ref="A1:AF98"/>
  <sheetViews>
    <sheetView tabSelected="1" zoomScale="70" zoomScaleNormal="70" workbookViewId="0">
      <selection activeCell="C15" sqref="C15:D15"/>
    </sheetView>
  </sheetViews>
  <sheetFormatPr defaultColWidth="9.109375" defaultRowHeight="16.8" x14ac:dyDescent="0.3"/>
  <cols>
    <col min="1" max="1" width="16" style="1" customWidth="1"/>
    <col min="2" max="2" width="27.77734375" style="1" customWidth="1"/>
    <col min="3" max="3" width="55.44140625" style="1" customWidth="1"/>
    <col min="4" max="5" width="14.109375" style="1" customWidth="1"/>
    <col min="6" max="6" width="20.5546875" style="1" customWidth="1"/>
    <col min="7" max="32" width="6.5546875" style="18" customWidth="1"/>
    <col min="33" max="16384" width="9.109375" style="1"/>
  </cols>
  <sheetData>
    <row r="1" spans="1:32" ht="43.2" customHeight="1" thickBot="1" x14ac:dyDescent="0.35">
      <c r="A1" s="65" t="s">
        <v>3</v>
      </c>
      <c r="B1" s="65"/>
      <c r="C1" s="9" t="s">
        <v>21</v>
      </c>
      <c r="E1" s="2"/>
      <c r="F1" s="31" t="s">
        <v>20</v>
      </c>
    </row>
    <row r="2" spans="1:32" ht="20.399999999999999" customHeight="1" thickBot="1" x14ac:dyDescent="0.35">
      <c r="A2" s="65" t="s">
        <v>2</v>
      </c>
      <c r="B2" s="65"/>
      <c r="C2" s="23" t="s">
        <v>12</v>
      </c>
      <c r="E2" s="3"/>
      <c r="F2" s="32" t="s">
        <v>19</v>
      </c>
    </row>
    <row r="3" spans="1:32" ht="20.399999999999999" customHeight="1" thickBot="1" x14ac:dyDescent="0.35">
      <c r="A3" s="65" t="s">
        <v>1</v>
      </c>
      <c r="B3" s="65"/>
      <c r="C3" s="30">
        <v>46126</v>
      </c>
      <c r="E3" s="4"/>
      <c r="F3" s="33" t="s">
        <v>18</v>
      </c>
    </row>
    <row r="4" spans="1:32" ht="20.399999999999999" customHeight="1" thickBot="1" x14ac:dyDescent="0.35">
      <c r="A4" s="65" t="s">
        <v>0</v>
      </c>
      <c r="B4" s="65"/>
      <c r="C4" s="30">
        <v>46149</v>
      </c>
    </row>
    <row r="5" spans="1:32" ht="20.399999999999999" customHeight="1" thickBot="1" x14ac:dyDescent="0.35"/>
    <row r="6" spans="1:32" ht="20.399999999999999" customHeight="1" thickBot="1" x14ac:dyDescent="0.35">
      <c r="B6" s="68" t="s">
        <v>13</v>
      </c>
      <c r="C6" s="68"/>
      <c r="D6" s="68"/>
      <c r="E6" s="68"/>
    </row>
    <row r="7" spans="1:32" ht="20.399999999999999" customHeight="1" thickBot="1" x14ac:dyDescent="0.35">
      <c r="B7" s="11" t="s">
        <v>6</v>
      </c>
      <c r="C7" s="11" t="s">
        <v>15</v>
      </c>
      <c r="D7" s="11" t="s">
        <v>10</v>
      </c>
      <c r="E7" s="11" t="s">
        <v>14</v>
      </c>
    </row>
    <row r="8" spans="1:32" ht="20.399999999999999" customHeight="1" thickBot="1" x14ac:dyDescent="0.35">
      <c r="B8" s="12">
        <v>1</v>
      </c>
      <c r="C8" s="10" t="s">
        <v>22</v>
      </c>
      <c r="D8" s="26">
        <f ca="1">SUMIF($E$16:$F$96,"Nam",$G$16:$G$96)+SUMIF($E$16:$F$96,"All Team",$G$16:$G$96)/5+SUMIF($E$16:$F$96,"Nam, Ngọc",$G$16:$G$96)/2+SUMIF($E$16:$F$96,"Nam, Hiếu",$G$16:$G$96)/2+SUMIF($E$16:$F$96,"Nam, Hiếu, Lâm",$G$16:$G$96)/3+SUMIF($E$16:$F$96,"Nam, Khiêm",$G$16:$G$96)/2+SUMIF($E$16:$F$96,"Nam, Lâm",$G$16:$G$96)/2+SUMIF($E$16:$F$96,"Nam, Khiêm, Lâm",$G$16:$G$96)/3+SUMIF($E$16:$F$96,"Nam, Khiêm, Hiếu",$G$16:$G$96)/3+SUMIF($E$16:$F$96,"Nam, Ngọc, Hiếu",$G$16:$G$96)/3+SUMIF($E$16:$F$96,"Nam, Ngọc, Khiêm",$G$16:$G$96)/3+SUMIF($E$16:$F$96,"Nam, Ngọc, Lâm",$G$16:$G$96)/3+SUMIF($E$16:$F$96,"Nam, Ngọc, Khiêm, Lâm",$G$16:$G$96)/4</f>
        <v>107.46666666666665</v>
      </c>
      <c r="E8" s="26">
        <f ca="1">SUMIF($E$16:$F$96,"Nam",$H$16:$H$96)+SUMIF($E$16:$F$96,"All Team",$H$16:$H$96)/5+SUMIF($E$16:$F$96,"Nam, Ngọc",$H$16:$H$96)/2+SUMIF($E$16:$F$96,"Nam, Hiếu",$H$16:$H$96)/2+SUMIF($E$16:$F$96,"Nam, Hiếu, Lâm",$H$16:$H$96)/3+SUMIF($E$16:$F$96,"Nam, Khiêm",$H$16:$H$96)/2+SUMIF($E$16:$F$96,"Nam, Lâm",$H$16:$H$96)/2+SUMIF($E$16:$F$96,"Nam, Khiêm, Lâm",$H$16:$H$96)/3+SUMIF($E$16:$F$96,"Nam, Khiêm, Hiếu",$H$16:$H$96)/3+SUMIF($E$16:$F$96,"Nam, Ngọc, Hiếu",$H$16:$H$96)/3+SUMIF($E$16:$F$96,"Nam, Ngọc, Khiêm",$H$16:$H$96)/3+SUMIF($E$16:$F$96,"Nam, Ngọc, Lâm",$H$16:$H$96)/3+SUMIF($E$16:$F$96,"Nam, Ngọc, Khiêm, Lâm",$H$16:$H$96)/4</f>
        <v>102.89999999999999</v>
      </c>
    </row>
    <row r="9" spans="1:32" ht="20.399999999999999" customHeight="1" thickBot="1" x14ac:dyDescent="0.35">
      <c r="B9" s="12">
        <v>2</v>
      </c>
      <c r="C9" s="10" t="s">
        <v>23</v>
      </c>
      <c r="D9" s="26">
        <f ca="1">SUMIF($E$16:$F$96,"Ngọc",$G$16:$G$96)+SUMIF($E$16:$F$96,"All Team",$G$16:$G$96)/5+SUMIF($E$16:$F$96,"Nam, Ngọc",$G$16:$G$96)/2+SUMIF($E$16:$F$96,"Ngọc, Khiêm",$G$16:$G$96)/2+SUMIF($E$16:$F$96,"Ngọc, Hiếu, Lâm",$G$16:$G$96)/3+SUMIF($E$16:$F$96,"Ngọc, Khiêm, Lâm",$G$16:$G$96)/3+SUMIF($E$16:$F$96,"Ngọc, Lâm",$G$16:$G$96)/2+SUMIF($E$16:$F$96,"Nam, Ngọc, Hiếu",$G$16:$G$96)/3+SUMIF($E$16:$F$96,"Ngọc, Hiếu",$G$16:$G$96)/2+SUMIF($E$16:$F$96,"Nam, Ngọc, Khiêm",$G$16:$G$96)/3+SUMIF($E$16:$F$96,"Nam, Ngọc, Lâm",$G$16:$G$96)/3+SUMIF($E$16:$F$96,"Nam, Ngọc, Khiêm, Lâm",$G$16:$G$96)/4</f>
        <v>92.466666666666654</v>
      </c>
      <c r="E9" s="26">
        <f ca="1">SUMIF($E$16:$F$96,"Ngọc",$H$16:$H$96)+SUMIF($E$16:$F$96,"All Team",$H$16:$H$96)/5+SUMIF($E$16:$F$96,"Nam, Ngọc",$H$16:$H$96)/2+SUMIF($E$16:$F$96,"Ngọc, Khiêm",$H$16:$H$96)/2+SUMIF($E$16:$F$96,"Ngọc, Hiếu, Lâm",$H$16:$H$96)/3+SUMIF($E$16:$F$96,"Ngọc, Khiêm, Lâm",$H$16:$H$96)/3+SUMIF($E$16:$F$96,"Ngọc, Lâm",$H$16:$H$96)/2+SUMIF($E$16:$F$96,"Nam, Ngọc, Hiếu",$H$16:$H$96)/3+SUMIF($E$16:$F$96,"Ngọc, Hiếu",$H$16:$H$96)/2+SUMIF($E$16:$F$96,"Nam, Ngọc, Khiêm",$H$16:$H$96)/3+SUMIF($E$16:$F$96,"Nam, Ngọc, Lâm",$H$16:$H$96)/3+SUMIF($E$16:$F$96,"Nam, Ngọc, Khiêm, Lâm",$H$16:$H$96)/4</f>
        <v>90.566666666666663</v>
      </c>
    </row>
    <row r="10" spans="1:32" ht="20.399999999999999" customHeight="1" thickBot="1" x14ac:dyDescent="0.35">
      <c r="B10" s="12">
        <v>3</v>
      </c>
      <c r="C10" s="10" t="s">
        <v>24</v>
      </c>
      <c r="D10" s="26">
        <f ca="1">SUMIF($E$16:$F$96,"Khiêm",$G$16:$G$96)+SUMIF($E$16:$F$96,"All Team",$G$16:$G$96)/5+SUMIF($E$16:$F$96,"Khiêm, Hiếu",$G$16:$G$96)/2+SUMIF($E$16:$F$96,"Ngọc, Khiêm",$G$16:$G$96)/2+SUMIF($E$16:$F$96,"Ngọc, Khiêm, Lâm",$G$16:$G$96)/3+SUMIF($E$16:$F$96,"Nam, Khiêm",$G$16:$G$96)/2+SUMIF($E$16:$F$96,"Khiêm, Lâm",$G$16:$G$96)/2+SUMIF($E$16:$F$96,"Nam, Khiêm, Hiếu",$G$16:$G$96)/3+SUMIF($E$16:$F$96,"Nam, Khiêm, Lâm",$G$16:$G$96)/3+SUMIF($E$16:$F$96,"Khiêm, Hiếu, Lâm",$G$16:$G$96)/3+SUMIF($E$16:$F$96,"Nam, Ngọc, Khiêm",$G$16:$G$96)/3+SUMIF($E$16:$F$96,"Nam, Ngọc, Khiêm, Lâm",$G$16:$G$96)/4</f>
        <v>84.133333333333326</v>
      </c>
      <c r="E10" s="26">
        <f ca="1">SUMIF($E$16:$F$96,"Khiêm",$H$16:$H$96)+SUMIF($E$16:$F$96,"All Team",$H$16:$H$96)/5+SUMIF($E$16:$F$96,"Khiêm, Hiếu",$H$16:$H$96)/2+SUMIF($E$16:$F$96,"Ngọc, Khiêm",$H$16:$H$96)/2+SUMIF($E$16:$F$96,"Ngọc, Khiêm, Lâm",$H$16:$H$96)/3+SUMIF($E$16:$F$96,"Nam, Khiêm",$H$16:$H$96)/2+SUMIF($E$16:$F$96,"Khiêm, Lâm",$H$16:$H$96)/2+SUMIF($E$16:$F$96,"Nam, Khiêm, Hiếu",$H$16:$H$96)/3+SUMIF($E$16:$F$96,"Nam, Khiêm, Lâm",$H$16:$H$96)/3+SUMIF($E$16:$F$96,"Khiêm, Hiếu, Lâm",$H$16:$H$96)/3+SUMIF($E$16:$F$96,"Nam, Ngọc, Khiêm",$H$16:$H$96)/3+SUMIF($E$16:$F$96,"Nam, Ngọc, Khiêm, Lâm",$H$16:$H$96)/4</f>
        <v>77.566666666666663</v>
      </c>
    </row>
    <row r="11" spans="1:32" ht="20.399999999999999" customHeight="1" thickBot="1" x14ac:dyDescent="0.35">
      <c r="B11" s="12">
        <v>4</v>
      </c>
      <c r="C11" s="10" t="s">
        <v>25</v>
      </c>
      <c r="D11" s="26">
        <f ca="1">SUMIF($E$16:$F$96,"Hiếu",$G$16:$G$96)+SUMIF($E$16:$F$96,"All Team",$G$16:$G$96)/5+SUMIF($E$16:$F$96,"Khiêm, Hiếu",$G$16:$G$96)/2+SUMIF($E$16:$F$96,"Hiếu, Lâm",$G$16:$G$96)/2+SUMIF($E$16:$F$96,"Ngọc, Hiếu, Lâm",$G$16:$G$96)/3+SUMIF($E$16:$F$96,"Nam, Hiếu",$G$16:$G$96)/2+SUMIF($E$16:$F$96,"Nam, Hiếu, Lâm",$G$16:$G$96)/3+SUMIF($E$16:$F$96,"Nam, Khiêm, Hiếu",$G$16:$G$96)/3+SUMIF($E$16:$F$96,"Nam, Ngọc, Hiếu",$G$16:$G$96)/3+SUMIF($E$16:$F$96,"Khiêm, Hiếu, Lâm",$G$16:$G$96)/3+SUMIF($E$16:$F$96,"Ngọc, Hiếu",$G$16:$G$96)/2</f>
        <v>86.8</v>
      </c>
      <c r="E11" s="26">
        <f ca="1">SUMIF($E$16:$F$96,"Hiếu",$H$16:$H$96)+SUMIF($E$16:$F$96,"All Team",$H$16:$H$96)/5+SUMIF($E$16:$F$96,"Khiêm, Hiếu",$H$16:$H$96)/2+SUMIF($E$16:$F$96,"Hiếu, Lâm",$H$16:$H$96)/2+SUMIF($E$16:$F$96,"Ngọc, Hiếu, Lâm",$H$16:$H$96)/3+SUMIF($E$16:$F$96,"Nam, Hiếu",$H$16:$H$96)/2+SUMIF($E$16:$F$96,"Nam, Hiếu, Lâm",$H$16:$H$96)/3+SUMIF($E$16:$F$96,"Nam, Khiêm, Hiếu",$H$16:$H$96)/3+SUMIF($E$16:$F$96,"Nam, Ngọc, Hiếu",$H$16:$H$96)/3+SUMIF($E$16:$F$96,"Khiêm, Hiếu, Lâm",$H$16:$H$96)/3+SUMIF($E$16:$F$96,"Ngọc, Hiếu",$H$16:$H$96)/2</f>
        <v>90.4</v>
      </c>
    </row>
    <row r="12" spans="1:32" ht="20.399999999999999" customHeight="1" thickBot="1" x14ac:dyDescent="0.35">
      <c r="B12" s="12">
        <v>5</v>
      </c>
      <c r="C12" s="10" t="s">
        <v>26</v>
      </c>
      <c r="D12" s="26">
        <f ca="1">SUMIF($E$16:$F$96,"Lâm",$G$16:$G$96)+SUMIF($E$16:$F$96,"All Team",$G$16:$G$96)/5+SUMIF($E$16:$F$96,"Hiếu, Lâm",$G$16:$G$96)/2+SUMIF($E$16:$F$96,"Ngọc, Hiếu, Lâm",$G$16:$G$96)/3+SUMIF($E$16:$F$96,"Nam, Hiếu, Lâm",$G$16:$G$96)/3+SUMIF($E$16:$F$96,"Ngọc, Khiêm, Lâm",$G$16:$G$96)/3+SUMIF($E$16:$F$96,"Khiêm, Lâm",$G$16:$G$96)/2+SUMIF($E$16:$F$96,"Nam, Lâm",$G$16:$G$96)/2+SUMIF($E$16:$F$96,"Nam, Khiêm, Lâm",$G$16:$G$96)/3+SUMIF($E$16:$F$96,"Ngọc, Lâm",$G$16:$G$96)/2+SUMIF($E$16:$F$96,"Khiêm, Hiếu, Lâm",$G$16:$G$96)/3+SUMIF($E$16:$F$96,"Nam, Ngọc, Lâm",$G$16:$G$96)/3+SUMIF($E$16:$F$96,"Nam, Ngọc, Khiêm, Lâm",$G$16:$G$96)/4</f>
        <v>92.133333333333326</v>
      </c>
      <c r="E12" s="26">
        <f ca="1">SUMIF($E$16:$F$96,"Lâm",$H$16:$H$96)+SUMIF($E$16:$F$96,"All Team",$H$16:$H$96)/5+SUMIF($E$16:$F$96,"Hiếu, Lâm",$H$16:$H$96)/2+SUMIF($E$16:$F$96,"Ngọc, Hiếu, Lâm",$H$16:$H$96)/3+SUMIF($E$16:$F$96,"Nam, Hiếu, Lâm",$H$16:$H$96)/3+SUMIF($E$16:$F$96,"Ngọc, Khiêm, Lâm",$H$16:$H$96)/3+SUMIF($E$16:$F$96,"Khiêm, Lâm",$H$16:$H$96)/2+SUMIF($E$16:$F$96,"Nam, Lâm",$H$16:$H$96)/2+SUMIF($E$16:$F$96,"Nam, Khiêm, Lâm",$H$16:$H$96)/3+SUMIF($E$16:$F$96,"Ngọc, Lâm",$H$16:$H$96)/2+SUMIF($E$16:$F$96,"Khiêm, Hiếu, Lâm",$H$16:$H$96)/3+SUMIF($E$16:$F$96,"Nam, Ngọc, Lâm",$H$16:$H$96)/3+SUMIF($E$16:$F$96,"Nam, Ngọc, Khiêm, Lâm",$H$16:$H$96)/4</f>
        <v>88.566666666666663</v>
      </c>
    </row>
    <row r="13" spans="1:32" ht="20.399999999999999" customHeight="1" thickBot="1" x14ac:dyDescent="0.35">
      <c r="B13" s="68" t="s">
        <v>11</v>
      </c>
      <c r="C13" s="68"/>
      <c r="D13" s="15">
        <f ca="1">SUM(D8:D12)</f>
        <v>462.99999999999994</v>
      </c>
      <c r="E13" s="15">
        <f ca="1">SUM(E8:E12)</f>
        <v>449.99999999999994</v>
      </c>
    </row>
    <row r="14" spans="1:32" ht="20.399999999999999" customHeight="1" x14ac:dyDescent="0.3"/>
    <row r="15" spans="1:32" s="18" customFormat="1" ht="62.25" customHeight="1" x14ac:dyDescent="0.3">
      <c r="A15" s="14" t="s">
        <v>7</v>
      </c>
      <c r="B15" s="14" t="s">
        <v>184</v>
      </c>
      <c r="C15" s="69" t="s">
        <v>8</v>
      </c>
      <c r="D15" s="69"/>
      <c r="E15" s="69" t="s">
        <v>9</v>
      </c>
      <c r="F15" s="69"/>
      <c r="G15" s="16" t="s">
        <v>10</v>
      </c>
      <c r="H15" s="16" t="s">
        <v>14</v>
      </c>
      <c r="I15" s="17">
        <v>46126</v>
      </c>
      <c r="J15" s="17">
        <v>46127</v>
      </c>
      <c r="K15" s="17">
        <v>46128</v>
      </c>
      <c r="L15" s="17">
        <v>46129</v>
      </c>
      <c r="M15" s="17">
        <v>46130</v>
      </c>
      <c r="N15" s="17">
        <v>46131</v>
      </c>
      <c r="O15" s="17">
        <v>46132</v>
      </c>
      <c r="P15" s="17">
        <v>46133</v>
      </c>
      <c r="Q15" s="17">
        <v>46134</v>
      </c>
      <c r="R15" s="17">
        <v>46135</v>
      </c>
      <c r="S15" s="17">
        <v>46136</v>
      </c>
      <c r="T15" s="17">
        <v>46137</v>
      </c>
      <c r="U15" s="17">
        <v>46138</v>
      </c>
      <c r="V15" s="17">
        <v>46139</v>
      </c>
      <c r="W15" s="17">
        <v>46140</v>
      </c>
      <c r="X15" s="17">
        <v>46141</v>
      </c>
      <c r="Y15" s="17">
        <v>46142</v>
      </c>
      <c r="Z15" s="17">
        <v>46143</v>
      </c>
      <c r="AA15" s="17">
        <v>46144</v>
      </c>
      <c r="AB15" s="17">
        <v>46145</v>
      </c>
      <c r="AC15" s="17">
        <v>46146</v>
      </c>
      <c r="AD15" s="17">
        <v>46147</v>
      </c>
      <c r="AE15" s="17">
        <v>46148</v>
      </c>
      <c r="AF15" s="17">
        <v>46149</v>
      </c>
    </row>
    <row r="16" spans="1:32" s="25" customFormat="1" ht="19.8" customHeight="1" x14ac:dyDescent="0.3">
      <c r="A16" s="56" t="s">
        <v>12</v>
      </c>
      <c r="B16" s="49" t="s">
        <v>95</v>
      </c>
      <c r="C16" s="48" t="s">
        <v>96</v>
      </c>
      <c r="D16" s="48"/>
      <c r="E16" s="80" t="s">
        <v>90</v>
      </c>
      <c r="F16" s="80"/>
      <c r="G16" s="37">
        <v>8</v>
      </c>
      <c r="H16" s="37">
        <v>8</v>
      </c>
      <c r="I16" s="36">
        <v>8</v>
      </c>
      <c r="J16" s="19">
        <v>0</v>
      </c>
      <c r="K16" s="21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</row>
    <row r="17" spans="1:32" s="25" customFormat="1" ht="19.8" customHeight="1" x14ac:dyDescent="0.3">
      <c r="A17" s="56"/>
      <c r="B17" s="50"/>
      <c r="C17" s="48" t="s">
        <v>97</v>
      </c>
      <c r="D17" s="48"/>
      <c r="E17" s="80" t="s">
        <v>90</v>
      </c>
      <c r="F17" s="80"/>
      <c r="G17" s="37">
        <v>7</v>
      </c>
      <c r="H17" s="37">
        <v>7</v>
      </c>
      <c r="I17" s="5">
        <v>7</v>
      </c>
      <c r="J17" s="19">
        <v>0</v>
      </c>
      <c r="K17" s="21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</row>
    <row r="18" spans="1:32" s="25" customFormat="1" ht="19.8" customHeight="1" x14ac:dyDescent="0.3">
      <c r="A18" s="56"/>
      <c r="B18" s="72" t="s">
        <v>98</v>
      </c>
      <c r="C18" s="48" t="s">
        <v>99</v>
      </c>
      <c r="D18" s="48"/>
      <c r="E18" s="45" t="s">
        <v>42</v>
      </c>
      <c r="F18" s="45"/>
      <c r="G18" s="35">
        <v>4</v>
      </c>
      <c r="H18" s="35">
        <v>4</v>
      </c>
      <c r="I18" s="21">
        <v>4</v>
      </c>
      <c r="J18" s="5">
        <v>2</v>
      </c>
      <c r="K18" s="19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</row>
    <row r="19" spans="1:32" s="25" customFormat="1" ht="19.8" customHeight="1" x14ac:dyDescent="0.3">
      <c r="A19" s="56"/>
      <c r="B19" s="73"/>
      <c r="C19" s="48" t="s">
        <v>100</v>
      </c>
      <c r="D19" s="48"/>
      <c r="E19" s="45" t="s">
        <v>42</v>
      </c>
      <c r="F19" s="45"/>
      <c r="G19" s="35">
        <v>3</v>
      </c>
      <c r="H19" s="35">
        <v>3</v>
      </c>
      <c r="I19" s="21">
        <v>3</v>
      </c>
      <c r="J19" s="5">
        <v>1</v>
      </c>
      <c r="K19" s="19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</row>
    <row r="20" spans="1:32" s="25" customFormat="1" ht="19.8" customHeight="1" x14ac:dyDescent="0.3">
      <c r="A20" s="56"/>
      <c r="B20" s="73"/>
      <c r="C20" s="48" t="s">
        <v>101</v>
      </c>
      <c r="D20" s="48"/>
      <c r="E20" s="45" t="s">
        <v>80</v>
      </c>
      <c r="F20" s="45"/>
      <c r="G20" s="35">
        <v>7</v>
      </c>
      <c r="H20" s="35">
        <v>5</v>
      </c>
      <c r="I20" s="21">
        <v>5</v>
      </c>
      <c r="J20" s="5">
        <v>2</v>
      </c>
      <c r="K20" s="19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</row>
    <row r="21" spans="1:32" s="25" customFormat="1" ht="19.8" customHeight="1" x14ac:dyDescent="0.3">
      <c r="A21" s="56"/>
      <c r="B21" s="73"/>
      <c r="C21" s="46"/>
      <c r="D21" s="47"/>
      <c r="E21" s="46"/>
      <c r="F21" s="47"/>
      <c r="G21" s="35"/>
      <c r="H21" s="35"/>
      <c r="I21" s="21"/>
      <c r="J21" s="5"/>
      <c r="K21" s="22">
        <v>2</v>
      </c>
      <c r="L21" s="21"/>
      <c r="M21" s="21"/>
      <c r="N21" s="21"/>
      <c r="O21" s="21"/>
      <c r="P21" s="21"/>
      <c r="Q21" s="21"/>
      <c r="R21" s="21"/>
      <c r="S21" s="21"/>
      <c r="T21" s="21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s="25" customFormat="1" ht="19.8" customHeight="1" x14ac:dyDescent="0.3">
      <c r="A22" s="56"/>
      <c r="B22" s="73"/>
      <c r="C22" s="48" t="s">
        <v>102</v>
      </c>
      <c r="D22" s="48"/>
      <c r="E22" s="45" t="s">
        <v>42</v>
      </c>
      <c r="F22" s="45"/>
      <c r="G22" s="35">
        <v>4</v>
      </c>
      <c r="H22" s="35">
        <v>4</v>
      </c>
      <c r="I22" s="21">
        <v>4</v>
      </c>
      <c r="J22" s="5">
        <v>2</v>
      </c>
      <c r="K22" s="19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</row>
    <row r="23" spans="1:32" s="25" customFormat="1" ht="19.8" customHeight="1" x14ac:dyDescent="0.3">
      <c r="A23" s="56"/>
      <c r="B23" s="73"/>
      <c r="C23" s="48" t="s">
        <v>103</v>
      </c>
      <c r="D23" s="48"/>
      <c r="E23" s="45" t="s">
        <v>46</v>
      </c>
      <c r="F23" s="45"/>
      <c r="G23" s="35">
        <v>3</v>
      </c>
      <c r="H23" s="35">
        <v>3</v>
      </c>
      <c r="I23" s="21">
        <v>3</v>
      </c>
      <c r="J23" s="5">
        <v>3</v>
      </c>
      <c r="K23" s="21">
        <v>1</v>
      </c>
      <c r="L23" s="19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</row>
    <row r="24" spans="1:32" s="25" customFormat="1" ht="19.8" customHeight="1" x14ac:dyDescent="0.3">
      <c r="A24" s="56"/>
      <c r="B24" s="73"/>
      <c r="C24" s="48" t="s">
        <v>104</v>
      </c>
      <c r="D24" s="48"/>
      <c r="E24" s="45" t="s">
        <v>46</v>
      </c>
      <c r="F24" s="45"/>
      <c r="G24" s="35">
        <v>3</v>
      </c>
      <c r="H24" s="35">
        <v>3</v>
      </c>
      <c r="I24" s="21">
        <v>3</v>
      </c>
      <c r="J24" s="5">
        <v>3</v>
      </c>
      <c r="K24" s="21">
        <v>1</v>
      </c>
      <c r="L24" s="19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5">
        <v>0</v>
      </c>
      <c r="AF24" s="21">
        <v>0</v>
      </c>
    </row>
    <row r="25" spans="1:32" s="25" customFormat="1" ht="19.8" customHeight="1" x14ac:dyDescent="0.3">
      <c r="A25" s="56"/>
      <c r="B25" s="73"/>
      <c r="C25" s="48" t="s">
        <v>105</v>
      </c>
      <c r="D25" s="48"/>
      <c r="E25" s="46" t="s">
        <v>44</v>
      </c>
      <c r="F25" s="47"/>
      <c r="G25" s="35">
        <v>2</v>
      </c>
      <c r="H25" s="35">
        <v>2</v>
      </c>
      <c r="I25" s="21">
        <v>2</v>
      </c>
      <c r="J25" s="5">
        <v>2</v>
      </c>
      <c r="K25" s="21">
        <v>1</v>
      </c>
      <c r="L25" s="19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5">
        <v>0</v>
      </c>
      <c r="AF25" s="21">
        <v>0</v>
      </c>
    </row>
    <row r="26" spans="1:32" s="25" customFormat="1" ht="19.8" customHeight="1" x14ac:dyDescent="0.3">
      <c r="A26" s="56"/>
      <c r="B26" s="73"/>
      <c r="C26" s="48" t="s">
        <v>106</v>
      </c>
      <c r="D26" s="48"/>
      <c r="E26" s="46" t="s">
        <v>44</v>
      </c>
      <c r="F26" s="47"/>
      <c r="G26" s="35">
        <v>2</v>
      </c>
      <c r="H26" s="35">
        <v>2</v>
      </c>
      <c r="I26" s="21">
        <v>2</v>
      </c>
      <c r="J26" s="5">
        <v>2</v>
      </c>
      <c r="K26" s="21">
        <v>1</v>
      </c>
      <c r="L26" s="19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5">
        <v>0</v>
      </c>
      <c r="AF26" s="21">
        <v>0</v>
      </c>
    </row>
    <row r="27" spans="1:32" s="25" customFormat="1" ht="19.8" customHeight="1" x14ac:dyDescent="0.3">
      <c r="A27" s="56"/>
      <c r="B27" s="73"/>
      <c r="C27" s="48" t="s">
        <v>107</v>
      </c>
      <c r="D27" s="48"/>
      <c r="E27" s="46" t="s">
        <v>44</v>
      </c>
      <c r="F27" s="47"/>
      <c r="G27" s="35">
        <v>1</v>
      </c>
      <c r="H27" s="35">
        <v>1</v>
      </c>
      <c r="I27" s="21">
        <v>1</v>
      </c>
      <c r="J27" s="5">
        <v>1</v>
      </c>
      <c r="K27" s="21">
        <v>1</v>
      </c>
      <c r="L27" s="19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5">
        <v>0</v>
      </c>
      <c r="AF27" s="21">
        <v>0</v>
      </c>
    </row>
    <row r="28" spans="1:32" s="25" customFormat="1" ht="19.8" customHeight="1" x14ac:dyDescent="0.3">
      <c r="A28" s="56"/>
      <c r="B28" s="73"/>
      <c r="C28" s="48" t="s">
        <v>108</v>
      </c>
      <c r="D28" s="48"/>
      <c r="E28" s="46" t="s">
        <v>44</v>
      </c>
      <c r="F28" s="47"/>
      <c r="G28" s="35">
        <v>3</v>
      </c>
      <c r="H28" s="35">
        <v>3</v>
      </c>
      <c r="I28" s="21">
        <v>3</v>
      </c>
      <c r="J28" s="5">
        <v>3</v>
      </c>
      <c r="K28" s="21">
        <v>3</v>
      </c>
      <c r="L28" s="21">
        <v>1</v>
      </c>
      <c r="M28" s="19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5">
        <v>0</v>
      </c>
      <c r="AF28" s="21">
        <v>0</v>
      </c>
    </row>
    <row r="29" spans="1:32" s="25" customFormat="1" ht="19.8" customHeight="1" x14ac:dyDescent="0.3">
      <c r="A29" s="56"/>
      <c r="B29" s="73"/>
      <c r="C29" s="48" t="s">
        <v>109</v>
      </c>
      <c r="D29" s="48"/>
      <c r="E29" s="46" t="s">
        <v>44</v>
      </c>
      <c r="F29" s="47"/>
      <c r="G29" s="35">
        <v>5</v>
      </c>
      <c r="H29" s="35">
        <v>3</v>
      </c>
      <c r="I29" s="21">
        <v>3</v>
      </c>
      <c r="J29" s="5">
        <v>3</v>
      </c>
      <c r="K29" s="21">
        <v>3</v>
      </c>
      <c r="L29" s="21">
        <v>1</v>
      </c>
      <c r="M29" s="19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5">
        <v>0</v>
      </c>
      <c r="AF29" s="21">
        <v>0</v>
      </c>
    </row>
    <row r="30" spans="1:32" s="25" customFormat="1" ht="19.8" customHeight="1" x14ac:dyDescent="0.3">
      <c r="A30" s="56"/>
      <c r="B30" s="73"/>
      <c r="C30" s="46"/>
      <c r="D30" s="47"/>
      <c r="E30" s="46"/>
      <c r="F30" s="47"/>
      <c r="G30" s="35"/>
      <c r="H30" s="35"/>
      <c r="I30" s="21"/>
      <c r="J30" s="24"/>
      <c r="K30" s="21"/>
      <c r="L30" s="21"/>
      <c r="M30" s="22">
        <v>2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4"/>
      <c r="AF30" s="21"/>
    </row>
    <row r="31" spans="1:32" s="25" customFormat="1" ht="19.8" customHeight="1" x14ac:dyDescent="0.3">
      <c r="A31" s="56"/>
      <c r="B31" s="73"/>
      <c r="C31" s="48" t="s">
        <v>110</v>
      </c>
      <c r="D31" s="48"/>
      <c r="E31" s="46" t="s">
        <v>45</v>
      </c>
      <c r="F31" s="47"/>
      <c r="G31" s="35">
        <v>2</v>
      </c>
      <c r="H31" s="35">
        <v>2</v>
      </c>
      <c r="I31" s="21">
        <v>2</v>
      </c>
      <c r="J31" s="5">
        <v>2</v>
      </c>
      <c r="K31" s="21">
        <v>2</v>
      </c>
      <c r="L31" s="21">
        <v>1</v>
      </c>
      <c r="M31" s="19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5">
        <v>0</v>
      </c>
      <c r="AF31" s="21">
        <v>0</v>
      </c>
    </row>
    <row r="32" spans="1:32" s="25" customFormat="1" ht="19.8" customHeight="1" x14ac:dyDescent="0.3">
      <c r="A32" s="56"/>
      <c r="B32" s="73"/>
      <c r="C32" s="48" t="s">
        <v>111</v>
      </c>
      <c r="D32" s="48"/>
      <c r="E32" s="46" t="s">
        <v>45</v>
      </c>
      <c r="F32" s="47"/>
      <c r="G32" s="35">
        <v>2</v>
      </c>
      <c r="H32" s="35">
        <v>2</v>
      </c>
      <c r="I32" s="21">
        <v>2</v>
      </c>
      <c r="J32" s="5">
        <v>2</v>
      </c>
      <c r="K32" s="21">
        <v>2</v>
      </c>
      <c r="L32" s="21">
        <v>1</v>
      </c>
      <c r="M32" s="19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5">
        <v>0</v>
      </c>
      <c r="AF32" s="21">
        <v>0</v>
      </c>
    </row>
    <row r="33" spans="1:32" s="25" customFormat="1" ht="19.8" customHeight="1" x14ac:dyDescent="0.3">
      <c r="A33" s="56"/>
      <c r="B33" s="73"/>
      <c r="C33" s="48" t="s">
        <v>112</v>
      </c>
      <c r="D33" s="48"/>
      <c r="E33" s="46" t="s">
        <v>45</v>
      </c>
      <c r="F33" s="47"/>
      <c r="G33" s="35">
        <v>3</v>
      </c>
      <c r="H33" s="35">
        <v>3</v>
      </c>
      <c r="I33" s="21">
        <v>3</v>
      </c>
      <c r="J33" s="5">
        <v>3</v>
      </c>
      <c r="K33" s="21">
        <v>3</v>
      </c>
      <c r="L33" s="21">
        <v>1</v>
      </c>
      <c r="M33" s="19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5">
        <v>0</v>
      </c>
      <c r="AF33" s="21">
        <v>0</v>
      </c>
    </row>
    <row r="34" spans="1:32" s="25" customFormat="1" ht="19.8" customHeight="1" x14ac:dyDescent="0.3">
      <c r="A34" s="56"/>
      <c r="B34" s="73"/>
      <c r="C34" s="48" t="s">
        <v>113</v>
      </c>
      <c r="D34" s="48"/>
      <c r="E34" s="46" t="s">
        <v>45</v>
      </c>
      <c r="F34" s="47"/>
      <c r="G34" s="35">
        <v>2</v>
      </c>
      <c r="H34" s="35">
        <v>2</v>
      </c>
      <c r="I34" s="21">
        <v>2</v>
      </c>
      <c r="J34" s="5">
        <v>2</v>
      </c>
      <c r="K34" s="21">
        <v>2</v>
      </c>
      <c r="L34" s="21">
        <v>1</v>
      </c>
      <c r="M34" s="19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5">
        <v>0</v>
      </c>
      <c r="AF34" s="21">
        <v>0</v>
      </c>
    </row>
    <row r="35" spans="1:32" s="25" customFormat="1" ht="19.8" customHeight="1" x14ac:dyDescent="0.3">
      <c r="A35" s="56"/>
      <c r="B35" s="73"/>
      <c r="C35" s="48" t="s">
        <v>114</v>
      </c>
      <c r="D35" s="48"/>
      <c r="E35" s="46" t="s">
        <v>80</v>
      </c>
      <c r="F35" s="47"/>
      <c r="G35" s="35">
        <v>5</v>
      </c>
      <c r="H35" s="35">
        <v>3</v>
      </c>
      <c r="I35" s="21">
        <v>3</v>
      </c>
      <c r="J35" s="5">
        <v>3</v>
      </c>
      <c r="K35" s="21">
        <v>3</v>
      </c>
      <c r="L35" s="21">
        <v>1</v>
      </c>
      <c r="M35" s="19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5">
        <v>0</v>
      </c>
      <c r="AF35" s="21">
        <v>0</v>
      </c>
    </row>
    <row r="36" spans="1:32" s="25" customFormat="1" ht="19.8" customHeight="1" x14ac:dyDescent="0.3">
      <c r="A36" s="56"/>
      <c r="B36" s="74"/>
      <c r="C36" s="46"/>
      <c r="D36" s="47"/>
      <c r="E36" s="46"/>
      <c r="F36" s="47"/>
      <c r="G36" s="35"/>
      <c r="H36" s="35"/>
      <c r="I36" s="21"/>
      <c r="J36" s="5"/>
      <c r="K36" s="21"/>
      <c r="L36" s="21"/>
      <c r="M36" s="22">
        <v>2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5"/>
      <c r="AF36" s="21"/>
    </row>
    <row r="37" spans="1:32" s="25" customFormat="1" ht="19.8" customHeight="1" x14ac:dyDescent="0.3">
      <c r="A37" s="56"/>
      <c r="B37" s="72" t="s">
        <v>115</v>
      </c>
      <c r="C37" s="48" t="s">
        <v>116</v>
      </c>
      <c r="D37" s="48"/>
      <c r="E37" s="45" t="s">
        <v>86</v>
      </c>
      <c r="F37" s="45"/>
      <c r="G37" s="35">
        <v>8</v>
      </c>
      <c r="H37" s="35">
        <v>8</v>
      </c>
      <c r="I37" s="21">
        <v>8</v>
      </c>
      <c r="J37" s="5">
        <v>8</v>
      </c>
      <c r="K37" s="5">
        <v>8</v>
      </c>
      <c r="L37" s="21">
        <v>3</v>
      </c>
      <c r="M37" s="21">
        <v>1</v>
      </c>
      <c r="N37" s="19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</row>
    <row r="38" spans="1:32" s="25" customFormat="1" ht="19.8" customHeight="1" x14ac:dyDescent="0.3">
      <c r="A38" s="56"/>
      <c r="B38" s="73"/>
      <c r="C38" s="48" t="s">
        <v>117</v>
      </c>
      <c r="D38" s="48"/>
      <c r="E38" s="45" t="s">
        <v>86</v>
      </c>
      <c r="F38" s="45"/>
      <c r="G38" s="35">
        <v>14</v>
      </c>
      <c r="H38" s="35">
        <v>14</v>
      </c>
      <c r="I38" s="21">
        <v>14</v>
      </c>
      <c r="J38" s="5">
        <v>14</v>
      </c>
      <c r="K38" s="5">
        <v>14</v>
      </c>
      <c r="L38" s="21">
        <v>10</v>
      </c>
      <c r="M38" s="21">
        <v>5</v>
      </c>
      <c r="N38" s="19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</row>
    <row r="39" spans="1:32" s="25" customFormat="1" ht="19.8" customHeight="1" x14ac:dyDescent="0.3">
      <c r="A39" s="56"/>
      <c r="B39" s="73"/>
      <c r="C39" s="48" t="s">
        <v>118</v>
      </c>
      <c r="D39" s="48"/>
      <c r="E39" s="45" t="s">
        <v>79</v>
      </c>
      <c r="F39" s="45"/>
      <c r="G39" s="35">
        <v>10</v>
      </c>
      <c r="H39" s="35">
        <v>8</v>
      </c>
      <c r="I39" s="21">
        <v>8</v>
      </c>
      <c r="J39" s="5">
        <v>8</v>
      </c>
      <c r="K39" s="5">
        <v>8</v>
      </c>
      <c r="L39" s="21">
        <v>8</v>
      </c>
      <c r="M39" s="21">
        <v>4</v>
      </c>
      <c r="N39" s="21">
        <v>2</v>
      </c>
      <c r="O39" s="19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</row>
    <row r="40" spans="1:32" s="25" customFormat="1" ht="19.8" customHeight="1" x14ac:dyDescent="0.3">
      <c r="A40" s="56"/>
      <c r="B40" s="73"/>
      <c r="C40" s="46"/>
      <c r="D40" s="47"/>
      <c r="E40" s="46"/>
      <c r="F40" s="47"/>
      <c r="G40" s="35"/>
      <c r="H40" s="35"/>
      <c r="I40" s="21"/>
      <c r="J40" s="5"/>
      <c r="K40" s="5"/>
      <c r="L40" s="21"/>
      <c r="M40" s="21"/>
      <c r="N40" s="21"/>
      <c r="O40" s="22">
        <v>2</v>
      </c>
      <c r="P40" s="21"/>
      <c r="Q40" s="21"/>
      <c r="R40" s="21"/>
      <c r="S40" s="21"/>
      <c r="T40" s="21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s="25" customFormat="1" ht="19.8" customHeight="1" x14ac:dyDescent="0.3">
      <c r="A41" s="56"/>
      <c r="B41" s="73"/>
      <c r="C41" s="48" t="s">
        <v>119</v>
      </c>
      <c r="D41" s="48"/>
      <c r="E41" s="45" t="s">
        <v>179</v>
      </c>
      <c r="F41" s="45"/>
      <c r="G41" s="35">
        <v>14</v>
      </c>
      <c r="H41" s="35">
        <v>14</v>
      </c>
      <c r="I41" s="21">
        <v>14</v>
      </c>
      <c r="J41" s="5">
        <v>14</v>
      </c>
      <c r="K41" s="5">
        <v>14</v>
      </c>
      <c r="L41" s="21">
        <v>14</v>
      </c>
      <c r="M41" s="21">
        <v>10</v>
      </c>
      <c r="N41" s="21">
        <v>5</v>
      </c>
      <c r="O41" s="19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5">
        <v>0</v>
      </c>
      <c r="AF41" s="21">
        <v>0</v>
      </c>
    </row>
    <row r="42" spans="1:32" s="25" customFormat="1" ht="19.8" customHeight="1" x14ac:dyDescent="0.3">
      <c r="A42" s="56"/>
      <c r="B42" s="73"/>
      <c r="C42" s="48" t="s">
        <v>120</v>
      </c>
      <c r="D42" s="48"/>
      <c r="E42" s="45" t="s">
        <v>155</v>
      </c>
      <c r="F42" s="45"/>
      <c r="G42" s="35">
        <v>6</v>
      </c>
      <c r="H42" s="35">
        <v>8</v>
      </c>
      <c r="I42" s="21">
        <v>8</v>
      </c>
      <c r="J42" s="5">
        <v>8</v>
      </c>
      <c r="K42" s="5">
        <v>8</v>
      </c>
      <c r="L42" s="21">
        <v>8</v>
      </c>
      <c r="M42" s="21">
        <v>8</v>
      </c>
      <c r="N42" s="21">
        <v>4</v>
      </c>
      <c r="O42" s="21">
        <v>2</v>
      </c>
      <c r="P42" s="19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5">
        <v>0</v>
      </c>
      <c r="AF42" s="21">
        <v>0</v>
      </c>
    </row>
    <row r="43" spans="1:32" s="25" customFormat="1" ht="19.8" customHeight="1" x14ac:dyDescent="0.3">
      <c r="A43" s="56"/>
      <c r="B43" s="73"/>
      <c r="C43" s="46"/>
      <c r="D43" s="47"/>
      <c r="E43" s="46"/>
      <c r="F43" s="47"/>
      <c r="G43" s="35"/>
      <c r="H43" s="35"/>
      <c r="I43" s="21"/>
      <c r="J43" s="5"/>
      <c r="K43" s="5"/>
      <c r="L43" s="21"/>
      <c r="M43" s="21"/>
      <c r="N43" s="21"/>
      <c r="O43" s="21"/>
      <c r="P43" s="20">
        <v>2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5"/>
      <c r="AF43" s="21"/>
    </row>
    <row r="44" spans="1:32" s="25" customFormat="1" ht="19.8" customHeight="1" x14ac:dyDescent="0.3">
      <c r="A44" s="56"/>
      <c r="B44" s="73"/>
      <c r="C44" s="48" t="s">
        <v>121</v>
      </c>
      <c r="D44" s="48"/>
      <c r="E44" s="45" t="s">
        <v>182</v>
      </c>
      <c r="F44" s="45"/>
      <c r="G44" s="35">
        <v>16</v>
      </c>
      <c r="H44" s="35">
        <v>16</v>
      </c>
      <c r="I44" s="21">
        <v>16</v>
      </c>
      <c r="J44" s="5">
        <v>16</v>
      </c>
      <c r="K44" s="5">
        <v>16</v>
      </c>
      <c r="L44" s="21">
        <v>16</v>
      </c>
      <c r="M44" s="21">
        <v>16</v>
      </c>
      <c r="N44" s="21">
        <v>10</v>
      </c>
      <c r="O44" s="21">
        <v>5</v>
      </c>
      <c r="P44" s="19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5">
        <v>0</v>
      </c>
      <c r="AF44" s="21">
        <v>0</v>
      </c>
    </row>
    <row r="45" spans="1:32" s="25" customFormat="1" ht="19.8" customHeight="1" x14ac:dyDescent="0.3">
      <c r="A45" s="56"/>
      <c r="B45" s="73"/>
      <c r="C45" s="48" t="s">
        <v>122</v>
      </c>
      <c r="D45" s="48"/>
      <c r="E45" s="45" t="s">
        <v>77</v>
      </c>
      <c r="F45" s="45"/>
      <c r="G45" s="35">
        <v>14</v>
      </c>
      <c r="H45" s="35">
        <v>14</v>
      </c>
      <c r="I45" s="21">
        <v>14</v>
      </c>
      <c r="J45" s="5">
        <v>14</v>
      </c>
      <c r="K45" s="5">
        <v>14</v>
      </c>
      <c r="L45" s="21">
        <v>14</v>
      </c>
      <c r="M45" s="21">
        <v>14</v>
      </c>
      <c r="N45" s="21">
        <v>14</v>
      </c>
      <c r="O45" s="21">
        <v>10</v>
      </c>
      <c r="P45" s="21">
        <v>5</v>
      </c>
      <c r="Q45" s="19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5">
        <v>0</v>
      </c>
      <c r="AF45" s="21">
        <v>0</v>
      </c>
    </row>
    <row r="46" spans="1:32" s="25" customFormat="1" ht="19.8" customHeight="1" x14ac:dyDescent="0.3">
      <c r="A46" s="56"/>
      <c r="B46" s="73"/>
      <c r="C46" s="48" t="s">
        <v>123</v>
      </c>
      <c r="D46" s="48"/>
      <c r="E46" s="46" t="s">
        <v>86</v>
      </c>
      <c r="F46" s="47"/>
      <c r="G46" s="35">
        <v>12</v>
      </c>
      <c r="H46" s="35">
        <v>10</v>
      </c>
      <c r="I46" s="21">
        <v>10</v>
      </c>
      <c r="J46" s="5">
        <v>10</v>
      </c>
      <c r="K46" s="5">
        <v>10</v>
      </c>
      <c r="L46" s="21">
        <v>10</v>
      </c>
      <c r="M46" s="21">
        <v>10</v>
      </c>
      <c r="N46" s="21">
        <v>10</v>
      </c>
      <c r="O46" s="21">
        <v>10</v>
      </c>
      <c r="P46" s="21">
        <v>5</v>
      </c>
      <c r="Q46" s="19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5">
        <v>0</v>
      </c>
      <c r="AF46" s="21">
        <v>0</v>
      </c>
    </row>
    <row r="47" spans="1:32" s="25" customFormat="1" ht="19.8" customHeight="1" x14ac:dyDescent="0.3">
      <c r="A47" s="56"/>
      <c r="B47" s="74"/>
      <c r="C47" s="46"/>
      <c r="D47" s="47"/>
      <c r="E47" s="46"/>
      <c r="F47" s="47"/>
      <c r="G47" s="35"/>
      <c r="H47" s="35"/>
      <c r="I47" s="21"/>
      <c r="J47" s="5"/>
      <c r="K47" s="5"/>
      <c r="L47" s="21"/>
      <c r="M47" s="21"/>
      <c r="N47" s="21"/>
      <c r="O47" s="21"/>
      <c r="P47" s="21"/>
      <c r="Q47" s="22">
        <v>2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5"/>
      <c r="AF47" s="21"/>
    </row>
    <row r="48" spans="1:32" s="25" customFormat="1" ht="19.8" customHeight="1" x14ac:dyDescent="0.3">
      <c r="A48" s="56"/>
      <c r="B48" s="56" t="s">
        <v>124</v>
      </c>
      <c r="C48" s="48" t="s">
        <v>125</v>
      </c>
      <c r="D48" s="48"/>
      <c r="E48" s="45" t="s">
        <v>177</v>
      </c>
      <c r="F48" s="45"/>
      <c r="G48" s="35">
        <v>9</v>
      </c>
      <c r="H48" s="35">
        <v>9</v>
      </c>
      <c r="I48" s="21">
        <v>9</v>
      </c>
      <c r="J48" s="5">
        <v>9</v>
      </c>
      <c r="K48" s="5">
        <v>9</v>
      </c>
      <c r="L48" s="5">
        <v>9</v>
      </c>
      <c r="M48" s="5">
        <v>9</v>
      </c>
      <c r="N48" s="5">
        <v>9</v>
      </c>
      <c r="O48" s="5">
        <v>9</v>
      </c>
      <c r="P48" s="5">
        <v>4</v>
      </c>
      <c r="Q48" s="5">
        <v>2</v>
      </c>
      <c r="R48" s="19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</row>
    <row r="49" spans="1:32" s="25" customFormat="1" ht="19.8" customHeight="1" x14ac:dyDescent="0.3">
      <c r="A49" s="56"/>
      <c r="B49" s="56"/>
      <c r="C49" s="48" t="s">
        <v>126</v>
      </c>
      <c r="D49" s="48"/>
      <c r="E49" s="45" t="s">
        <v>86</v>
      </c>
      <c r="F49" s="45"/>
      <c r="G49" s="35">
        <v>16</v>
      </c>
      <c r="H49" s="35">
        <v>16</v>
      </c>
      <c r="I49" s="21">
        <v>16</v>
      </c>
      <c r="J49" s="5">
        <v>16</v>
      </c>
      <c r="K49" s="5">
        <v>16</v>
      </c>
      <c r="L49" s="5">
        <v>16</v>
      </c>
      <c r="M49" s="5">
        <v>16</v>
      </c>
      <c r="N49" s="5">
        <v>16</v>
      </c>
      <c r="O49" s="5">
        <v>16</v>
      </c>
      <c r="P49" s="5">
        <v>10</v>
      </c>
      <c r="Q49" s="5">
        <v>5</v>
      </c>
      <c r="R49" s="19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</row>
    <row r="50" spans="1:32" s="25" customFormat="1" ht="19.8" customHeight="1" x14ac:dyDescent="0.3">
      <c r="A50" s="56"/>
      <c r="B50" s="56"/>
      <c r="C50" s="48" t="s">
        <v>127</v>
      </c>
      <c r="D50" s="48"/>
      <c r="E50" s="45" t="s">
        <v>86</v>
      </c>
      <c r="F50" s="45"/>
      <c r="G50" s="35">
        <v>16</v>
      </c>
      <c r="H50" s="35">
        <v>14</v>
      </c>
      <c r="I50" s="21">
        <v>14</v>
      </c>
      <c r="J50" s="5">
        <v>14</v>
      </c>
      <c r="K50" s="5">
        <v>14</v>
      </c>
      <c r="L50" s="5">
        <v>14</v>
      </c>
      <c r="M50" s="5">
        <v>14</v>
      </c>
      <c r="N50" s="5">
        <v>14</v>
      </c>
      <c r="O50" s="5">
        <v>14</v>
      </c>
      <c r="P50" s="5">
        <v>14</v>
      </c>
      <c r="Q50" s="5">
        <v>10</v>
      </c>
      <c r="R50" s="5">
        <v>5</v>
      </c>
      <c r="S50" s="19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</row>
    <row r="51" spans="1:32" s="25" customFormat="1" ht="19.8" customHeight="1" x14ac:dyDescent="0.3">
      <c r="A51" s="56"/>
      <c r="B51" s="56"/>
      <c r="C51" s="46"/>
      <c r="D51" s="47"/>
      <c r="E51" s="46"/>
      <c r="F51" s="47"/>
      <c r="G51" s="35"/>
      <c r="H51" s="35"/>
      <c r="I51" s="34"/>
      <c r="J51" s="36"/>
      <c r="K51" s="36"/>
      <c r="L51" s="36"/>
      <c r="M51" s="36"/>
      <c r="N51" s="36"/>
      <c r="O51" s="36"/>
      <c r="P51" s="36"/>
      <c r="Q51" s="36"/>
      <c r="R51" s="36"/>
      <c r="S51" s="22">
        <v>2</v>
      </c>
      <c r="T51" s="34"/>
      <c r="U51" s="34"/>
      <c r="V51" s="34"/>
      <c r="W51" s="34"/>
      <c r="X51" s="34"/>
      <c r="Y51" s="34"/>
      <c r="Z51" s="36"/>
      <c r="AA51" s="36"/>
      <c r="AB51" s="36"/>
      <c r="AC51" s="36"/>
      <c r="AD51" s="36"/>
      <c r="AE51" s="36"/>
      <c r="AF51" s="36"/>
    </row>
    <row r="52" spans="1:32" s="25" customFormat="1" ht="19.8" customHeight="1" x14ac:dyDescent="0.3">
      <c r="A52" s="56"/>
      <c r="B52" s="56"/>
      <c r="C52" s="48" t="s">
        <v>128</v>
      </c>
      <c r="D52" s="48"/>
      <c r="E52" s="45" t="s">
        <v>183</v>
      </c>
      <c r="F52" s="45"/>
      <c r="G52" s="35">
        <v>24</v>
      </c>
      <c r="H52" s="35">
        <v>22</v>
      </c>
      <c r="I52" s="21">
        <v>22</v>
      </c>
      <c r="J52" s="5">
        <v>22</v>
      </c>
      <c r="K52" s="5">
        <v>22</v>
      </c>
      <c r="L52" s="5">
        <v>22</v>
      </c>
      <c r="M52" s="5">
        <v>22</v>
      </c>
      <c r="N52" s="5">
        <v>22</v>
      </c>
      <c r="O52" s="5">
        <v>22</v>
      </c>
      <c r="P52" s="5">
        <v>22</v>
      </c>
      <c r="Q52" s="5">
        <v>15</v>
      </c>
      <c r="R52" s="5">
        <v>10</v>
      </c>
      <c r="S52" s="21">
        <v>5</v>
      </c>
      <c r="T52" s="19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</row>
    <row r="53" spans="1:32" s="25" customFormat="1" ht="19.8" customHeight="1" x14ac:dyDescent="0.3">
      <c r="A53" s="56"/>
      <c r="B53" s="56"/>
      <c r="C53" s="46"/>
      <c r="D53" s="47"/>
      <c r="E53" s="46"/>
      <c r="F53" s="47"/>
      <c r="G53" s="35"/>
      <c r="H53" s="35"/>
      <c r="I53" s="21"/>
      <c r="J53" s="5"/>
      <c r="K53" s="5"/>
      <c r="L53" s="5"/>
      <c r="M53" s="5"/>
      <c r="N53" s="5"/>
      <c r="O53" s="5"/>
      <c r="P53" s="5"/>
      <c r="Q53" s="5"/>
      <c r="R53" s="5"/>
      <c r="S53" s="21"/>
      <c r="T53" s="22">
        <v>2</v>
      </c>
      <c r="U53" s="21"/>
      <c r="V53" s="21"/>
      <c r="W53" s="21"/>
      <c r="X53" s="21"/>
      <c r="Y53" s="21"/>
      <c r="Z53" s="5"/>
      <c r="AA53" s="5"/>
      <c r="AB53" s="5"/>
      <c r="AC53" s="5"/>
      <c r="AD53" s="5"/>
      <c r="AE53" s="5"/>
      <c r="AF53" s="5"/>
    </row>
    <row r="54" spans="1:32" s="25" customFormat="1" ht="19.8" customHeight="1" x14ac:dyDescent="0.3">
      <c r="A54" s="56"/>
      <c r="B54" s="56"/>
      <c r="C54" s="48" t="s">
        <v>129</v>
      </c>
      <c r="D54" s="48"/>
      <c r="E54" s="45" t="s">
        <v>180</v>
      </c>
      <c r="F54" s="45"/>
      <c r="G54" s="35">
        <v>18</v>
      </c>
      <c r="H54" s="35">
        <v>18</v>
      </c>
      <c r="I54" s="21">
        <v>18</v>
      </c>
      <c r="J54" s="5">
        <v>18</v>
      </c>
      <c r="K54" s="5">
        <v>18</v>
      </c>
      <c r="L54" s="5">
        <v>18</v>
      </c>
      <c r="M54" s="5">
        <v>18</v>
      </c>
      <c r="N54" s="5">
        <v>18</v>
      </c>
      <c r="O54" s="5">
        <v>18</v>
      </c>
      <c r="P54" s="5">
        <v>18</v>
      </c>
      <c r="Q54" s="5">
        <v>18</v>
      </c>
      <c r="R54" s="5">
        <v>18</v>
      </c>
      <c r="S54" s="5">
        <v>12</v>
      </c>
      <c r="T54" s="21">
        <v>6</v>
      </c>
      <c r="U54" s="19">
        <v>0</v>
      </c>
      <c r="V54" s="21">
        <v>0</v>
      </c>
      <c r="W54" s="21">
        <v>0</v>
      </c>
      <c r="X54" s="21">
        <v>0</v>
      </c>
      <c r="Y54" s="21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</row>
    <row r="55" spans="1:32" s="25" customFormat="1" ht="19.8" customHeight="1" x14ac:dyDescent="0.3">
      <c r="A55" s="56"/>
      <c r="B55" s="56"/>
      <c r="C55" s="48" t="s">
        <v>130</v>
      </c>
      <c r="D55" s="48"/>
      <c r="E55" s="46" t="s">
        <v>80</v>
      </c>
      <c r="F55" s="47"/>
      <c r="G55" s="35">
        <v>12</v>
      </c>
      <c r="H55" s="35">
        <v>12</v>
      </c>
      <c r="I55" s="21">
        <v>12</v>
      </c>
      <c r="J55" s="5">
        <v>12</v>
      </c>
      <c r="K55" s="5">
        <v>12</v>
      </c>
      <c r="L55" s="5">
        <v>12</v>
      </c>
      <c r="M55" s="5">
        <v>12</v>
      </c>
      <c r="N55" s="5">
        <v>12</v>
      </c>
      <c r="O55" s="5">
        <v>12</v>
      </c>
      <c r="P55" s="5">
        <v>12</v>
      </c>
      <c r="Q55" s="5">
        <v>12</v>
      </c>
      <c r="R55" s="5">
        <v>12</v>
      </c>
      <c r="S55" s="5">
        <v>12</v>
      </c>
      <c r="T55" s="5">
        <v>8</v>
      </c>
      <c r="U55" s="21">
        <v>4</v>
      </c>
      <c r="V55" s="19">
        <v>0</v>
      </c>
      <c r="W55" s="21">
        <v>0</v>
      </c>
      <c r="X55" s="21">
        <v>0</v>
      </c>
      <c r="Y55" s="21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</row>
    <row r="56" spans="1:32" s="25" customFormat="1" ht="19.8" customHeight="1" x14ac:dyDescent="0.3">
      <c r="A56" s="56"/>
      <c r="B56" s="56"/>
      <c r="C56" s="48" t="s">
        <v>131</v>
      </c>
      <c r="D56" s="48"/>
      <c r="E56" s="46" t="s">
        <v>179</v>
      </c>
      <c r="F56" s="47"/>
      <c r="G56" s="35">
        <v>8</v>
      </c>
      <c r="H56" s="35">
        <v>8</v>
      </c>
      <c r="I56" s="21">
        <v>8</v>
      </c>
      <c r="J56" s="5">
        <v>8</v>
      </c>
      <c r="K56" s="5">
        <v>8</v>
      </c>
      <c r="L56" s="5">
        <v>8</v>
      </c>
      <c r="M56" s="5">
        <v>8</v>
      </c>
      <c r="N56" s="5">
        <v>8</v>
      </c>
      <c r="O56" s="5">
        <v>8</v>
      </c>
      <c r="P56" s="5">
        <v>8</v>
      </c>
      <c r="Q56" s="5">
        <v>8</v>
      </c>
      <c r="R56" s="5">
        <v>8</v>
      </c>
      <c r="S56" s="5">
        <v>8</v>
      </c>
      <c r="T56" s="5">
        <v>4</v>
      </c>
      <c r="U56" s="21">
        <v>2</v>
      </c>
      <c r="V56" s="19">
        <v>0</v>
      </c>
      <c r="W56" s="21">
        <v>0</v>
      </c>
      <c r="X56" s="21">
        <v>0</v>
      </c>
      <c r="Y56" s="21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</row>
    <row r="57" spans="1:32" s="25" customFormat="1" ht="19.8" customHeight="1" x14ac:dyDescent="0.3">
      <c r="A57" s="56"/>
      <c r="B57" s="56"/>
      <c r="C57" s="48" t="s">
        <v>132</v>
      </c>
      <c r="D57" s="48"/>
      <c r="E57" s="46" t="s">
        <v>175</v>
      </c>
      <c r="F57" s="47"/>
      <c r="G57" s="35">
        <v>8</v>
      </c>
      <c r="H57" s="35">
        <v>8</v>
      </c>
      <c r="I57" s="21">
        <v>8</v>
      </c>
      <c r="J57" s="5">
        <v>8</v>
      </c>
      <c r="K57" s="5">
        <v>8</v>
      </c>
      <c r="L57" s="5">
        <v>8</v>
      </c>
      <c r="M57" s="5">
        <v>8</v>
      </c>
      <c r="N57" s="5">
        <v>8</v>
      </c>
      <c r="O57" s="5">
        <v>8</v>
      </c>
      <c r="P57" s="5">
        <v>8</v>
      </c>
      <c r="Q57" s="5">
        <v>8</v>
      </c>
      <c r="R57" s="5">
        <v>8</v>
      </c>
      <c r="S57" s="5">
        <v>8</v>
      </c>
      <c r="T57" s="5">
        <v>8</v>
      </c>
      <c r="U57" s="5">
        <v>4</v>
      </c>
      <c r="V57" s="21">
        <v>2</v>
      </c>
      <c r="W57" s="19">
        <v>0</v>
      </c>
      <c r="X57" s="21">
        <v>0</v>
      </c>
      <c r="Y57" s="21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</row>
    <row r="58" spans="1:32" s="25" customFormat="1" ht="19.8" customHeight="1" x14ac:dyDescent="0.3">
      <c r="A58" s="56"/>
      <c r="B58" s="72" t="s">
        <v>134</v>
      </c>
      <c r="C58" s="48" t="s">
        <v>135</v>
      </c>
      <c r="D58" s="48"/>
      <c r="E58" s="46" t="s">
        <v>44</v>
      </c>
      <c r="F58" s="47"/>
      <c r="G58" s="35">
        <v>6</v>
      </c>
      <c r="H58" s="35">
        <v>6</v>
      </c>
      <c r="I58" s="21">
        <v>6</v>
      </c>
      <c r="J58" s="5">
        <v>6</v>
      </c>
      <c r="K58" s="5">
        <v>6</v>
      </c>
      <c r="L58" s="5">
        <v>6</v>
      </c>
      <c r="M58" s="5">
        <v>6</v>
      </c>
      <c r="N58" s="5">
        <v>6</v>
      </c>
      <c r="O58" s="5">
        <v>6</v>
      </c>
      <c r="P58" s="5">
        <v>6</v>
      </c>
      <c r="Q58" s="5">
        <v>6</v>
      </c>
      <c r="R58" s="5">
        <v>6</v>
      </c>
      <c r="S58" s="5">
        <v>6</v>
      </c>
      <c r="T58" s="5">
        <v>6</v>
      </c>
      <c r="U58" s="5">
        <v>6</v>
      </c>
      <c r="V58" s="5">
        <v>3</v>
      </c>
      <c r="W58" s="5">
        <v>1</v>
      </c>
      <c r="X58" s="19">
        <v>0</v>
      </c>
      <c r="Y58" s="21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</row>
    <row r="59" spans="1:32" s="25" customFormat="1" ht="19.8" customHeight="1" x14ac:dyDescent="0.3">
      <c r="A59" s="56"/>
      <c r="B59" s="73"/>
      <c r="C59" s="48" t="s">
        <v>136</v>
      </c>
      <c r="D59" s="48"/>
      <c r="E59" s="46" t="s">
        <v>44</v>
      </c>
      <c r="F59" s="47"/>
      <c r="G59" s="35">
        <v>6</v>
      </c>
      <c r="H59" s="35">
        <v>6</v>
      </c>
      <c r="I59" s="21">
        <v>6</v>
      </c>
      <c r="J59" s="5">
        <v>6</v>
      </c>
      <c r="K59" s="5">
        <v>6</v>
      </c>
      <c r="L59" s="5">
        <v>6</v>
      </c>
      <c r="M59" s="5">
        <v>6</v>
      </c>
      <c r="N59" s="5">
        <v>6</v>
      </c>
      <c r="O59" s="5">
        <v>6</v>
      </c>
      <c r="P59" s="5">
        <v>6</v>
      </c>
      <c r="Q59" s="5">
        <v>6</v>
      </c>
      <c r="R59" s="5">
        <v>6</v>
      </c>
      <c r="S59" s="5">
        <v>6</v>
      </c>
      <c r="T59" s="5">
        <v>6</v>
      </c>
      <c r="U59" s="5">
        <v>6</v>
      </c>
      <c r="V59" s="5">
        <v>3</v>
      </c>
      <c r="W59" s="5">
        <v>1</v>
      </c>
      <c r="X59" s="19">
        <v>0</v>
      </c>
      <c r="Y59" s="21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</row>
    <row r="60" spans="1:32" s="25" customFormat="1" ht="19.8" customHeight="1" x14ac:dyDescent="0.3">
      <c r="A60" s="56"/>
      <c r="B60" s="73"/>
      <c r="C60" s="48" t="s">
        <v>140</v>
      </c>
      <c r="D60" s="48"/>
      <c r="E60" s="46" t="s">
        <v>44</v>
      </c>
      <c r="F60" s="47"/>
      <c r="G60" s="35">
        <v>5</v>
      </c>
      <c r="H60" s="35">
        <v>5</v>
      </c>
      <c r="I60" s="21">
        <v>5</v>
      </c>
      <c r="J60" s="5">
        <v>5</v>
      </c>
      <c r="K60" s="5">
        <v>5</v>
      </c>
      <c r="L60" s="5">
        <v>5</v>
      </c>
      <c r="M60" s="5">
        <v>5</v>
      </c>
      <c r="N60" s="5">
        <v>5</v>
      </c>
      <c r="O60" s="5">
        <v>5</v>
      </c>
      <c r="P60" s="5">
        <v>5</v>
      </c>
      <c r="Q60" s="5">
        <v>5</v>
      </c>
      <c r="R60" s="5">
        <v>5</v>
      </c>
      <c r="S60" s="5">
        <v>5</v>
      </c>
      <c r="T60" s="5">
        <v>5</v>
      </c>
      <c r="U60" s="5">
        <v>5</v>
      </c>
      <c r="V60" s="5">
        <v>3</v>
      </c>
      <c r="W60" s="5">
        <v>1</v>
      </c>
      <c r="X60" s="19">
        <v>0</v>
      </c>
      <c r="Y60" s="21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</row>
    <row r="61" spans="1:32" s="25" customFormat="1" ht="19.8" customHeight="1" x14ac:dyDescent="0.3">
      <c r="A61" s="56"/>
      <c r="B61" s="73"/>
      <c r="C61" s="48" t="s">
        <v>139</v>
      </c>
      <c r="D61" s="48"/>
      <c r="E61" s="46" t="s">
        <v>44</v>
      </c>
      <c r="F61" s="47"/>
      <c r="G61" s="35">
        <v>2</v>
      </c>
      <c r="H61" s="35">
        <v>3</v>
      </c>
      <c r="I61" s="21">
        <v>3</v>
      </c>
      <c r="J61" s="5">
        <v>3</v>
      </c>
      <c r="K61" s="5">
        <v>3</v>
      </c>
      <c r="L61" s="5">
        <v>3</v>
      </c>
      <c r="M61" s="5">
        <v>3</v>
      </c>
      <c r="N61" s="5">
        <v>3</v>
      </c>
      <c r="O61" s="5">
        <v>3</v>
      </c>
      <c r="P61" s="5">
        <v>3</v>
      </c>
      <c r="Q61" s="5">
        <v>3</v>
      </c>
      <c r="R61" s="5">
        <v>3</v>
      </c>
      <c r="S61" s="5">
        <v>3</v>
      </c>
      <c r="T61" s="5">
        <v>3</v>
      </c>
      <c r="U61" s="5">
        <v>3</v>
      </c>
      <c r="V61" s="5">
        <v>3</v>
      </c>
      <c r="W61" s="5">
        <v>3</v>
      </c>
      <c r="X61" s="5">
        <v>1</v>
      </c>
      <c r="Y61" s="19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</row>
    <row r="62" spans="1:32" s="25" customFormat="1" ht="19.8" customHeight="1" x14ac:dyDescent="0.3">
      <c r="A62" s="56"/>
      <c r="B62" s="73"/>
      <c r="C62" s="46"/>
      <c r="D62" s="47"/>
      <c r="E62" s="46"/>
      <c r="F62" s="47"/>
      <c r="G62" s="35"/>
      <c r="H62" s="35"/>
      <c r="I62" s="2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0">
        <v>1</v>
      </c>
      <c r="Z62" s="5"/>
      <c r="AA62" s="5"/>
      <c r="AB62" s="5"/>
      <c r="AC62" s="5"/>
      <c r="AD62" s="5"/>
      <c r="AE62" s="5"/>
      <c r="AF62" s="5"/>
    </row>
    <row r="63" spans="1:32" s="25" customFormat="1" ht="19.8" customHeight="1" x14ac:dyDescent="0.3">
      <c r="A63" s="56"/>
      <c r="B63" s="73"/>
      <c r="C63" s="48" t="s">
        <v>138</v>
      </c>
      <c r="D63" s="48"/>
      <c r="E63" s="46" t="s">
        <v>179</v>
      </c>
      <c r="F63" s="47"/>
      <c r="G63" s="35">
        <v>8</v>
      </c>
      <c r="H63" s="35">
        <v>8</v>
      </c>
      <c r="I63" s="21">
        <v>8</v>
      </c>
      <c r="J63" s="5">
        <v>8</v>
      </c>
      <c r="K63" s="5">
        <v>8</v>
      </c>
      <c r="L63" s="5">
        <v>8</v>
      </c>
      <c r="M63" s="5">
        <v>8</v>
      </c>
      <c r="N63" s="5">
        <v>8</v>
      </c>
      <c r="O63" s="5">
        <v>8</v>
      </c>
      <c r="P63" s="5">
        <v>8</v>
      </c>
      <c r="Q63" s="5">
        <v>8</v>
      </c>
      <c r="R63" s="5">
        <v>8</v>
      </c>
      <c r="S63" s="5">
        <v>8</v>
      </c>
      <c r="T63" s="5">
        <v>8</v>
      </c>
      <c r="U63" s="5">
        <v>8</v>
      </c>
      <c r="V63" s="5">
        <v>5</v>
      </c>
      <c r="W63" s="5">
        <v>3</v>
      </c>
      <c r="X63" s="5">
        <v>1</v>
      </c>
      <c r="Y63" s="19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</row>
    <row r="64" spans="1:32" s="25" customFormat="1" ht="19.8" customHeight="1" x14ac:dyDescent="0.3">
      <c r="A64" s="56"/>
      <c r="B64" s="73"/>
      <c r="C64" s="48" t="s">
        <v>137</v>
      </c>
      <c r="D64" s="48"/>
      <c r="E64" s="46" t="s">
        <v>179</v>
      </c>
      <c r="F64" s="47"/>
      <c r="G64" s="35">
        <v>10</v>
      </c>
      <c r="H64" s="35">
        <v>10</v>
      </c>
      <c r="I64" s="21">
        <v>10</v>
      </c>
      <c r="J64" s="5">
        <v>10</v>
      </c>
      <c r="K64" s="5">
        <v>10</v>
      </c>
      <c r="L64" s="5">
        <v>10</v>
      </c>
      <c r="M64" s="5">
        <v>10</v>
      </c>
      <c r="N64" s="5">
        <v>10</v>
      </c>
      <c r="O64" s="5">
        <v>10</v>
      </c>
      <c r="P64" s="5">
        <v>10</v>
      </c>
      <c r="Q64" s="5">
        <v>10</v>
      </c>
      <c r="R64" s="5">
        <v>10</v>
      </c>
      <c r="S64" s="5">
        <v>10</v>
      </c>
      <c r="T64" s="5">
        <v>10</v>
      </c>
      <c r="U64" s="5">
        <v>10</v>
      </c>
      <c r="V64" s="5">
        <v>10</v>
      </c>
      <c r="W64" s="5">
        <v>5</v>
      </c>
      <c r="X64" s="5">
        <v>2</v>
      </c>
      <c r="Y64" s="19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</row>
    <row r="65" spans="1:32" s="25" customFormat="1" ht="19.8" customHeight="1" x14ac:dyDescent="0.3">
      <c r="A65" s="56"/>
      <c r="B65" s="73"/>
      <c r="C65" s="48" t="s">
        <v>141</v>
      </c>
      <c r="D65" s="48"/>
      <c r="E65" s="46" t="s">
        <v>178</v>
      </c>
      <c r="F65" s="47"/>
      <c r="G65" s="35">
        <v>8</v>
      </c>
      <c r="H65" s="35">
        <v>8</v>
      </c>
      <c r="I65" s="21">
        <v>8</v>
      </c>
      <c r="J65" s="21">
        <v>8</v>
      </c>
      <c r="K65" s="21">
        <v>8</v>
      </c>
      <c r="L65" s="21">
        <v>8</v>
      </c>
      <c r="M65" s="21">
        <v>8</v>
      </c>
      <c r="N65" s="21">
        <v>8</v>
      </c>
      <c r="O65" s="21">
        <v>8</v>
      </c>
      <c r="P65" s="21">
        <v>8</v>
      </c>
      <c r="Q65" s="21">
        <v>8</v>
      </c>
      <c r="R65" s="21">
        <v>8</v>
      </c>
      <c r="S65" s="21">
        <v>8</v>
      </c>
      <c r="T65" s="21">
        <v>8</v>
      </c>
      <c r="U65" s="21">
        <v>8</v>
      </c>
      <c r="V65" s="21">
        <v>8</v>
      </c>
      <c r="W65" s="21">
        <v>8</v>
      </c>
      <c r="X65" s="21">
        <v>3</v>
      </c>
      <c r="Y65" s="21">
        <v>1</v>
      </c>
      <c r="Z65" s="19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</row>
    <row r="66" spans="1:32" s="25" customFormat="1" ht="19.8" customHeight="1" x14ac:dyDescent="0.3">
      <c r="A66" s="56"/>
      <c r="B66" s="73"/>
      <c r="C66" s="48" t="s">
        <v>142</v>
      </c>
      <c r="D66" s="48"/>
      <c r="E66" s="46" t="s">
        <v>45</v>
      </c>
      <c r="F66" s="47"/>
      <c r="G66" s="35">
        <v>6</v>
      </c>
      <c r="H66" s="35">
        <v>6</v>
      </c>
      <c r="I66" s="21">
        <v>6</v>
      </c>
      <c r="J66" s="21">
        <v>6</v>
      </c>
      <c r="K66" s="21">
        <v>6</v>
      </c>
      <c r="L66" s="21">
        <v>6</v>
      </c>
      <c r="M66" s="21">
        <v>6</v>
      </c>
      <c r="N66" s="21">
        <v>6</v>
      </c>
      <c r="O66" s="21">
        <v>6</v>
      </c>
      <c r="P66" s="21">
        <v>6</v>
      </c>
      <c r="Q66" s="21">
        <v>6</v>
      </c>
      <c r="R66" s="21">
        <v>6</v>
      </c>
      <c r="S66" s="21">
        <v>6</v>
      </c>
      <c r="T66" s="21">
        <v>6</v>
      </c>
      <c r="U66" s="21">
        <v>6</v>
      </c>
      <c r="V66" s="21">
        <v>6</v>
      </c>
      <c r="W66" s="21">
        <v>6</v>
      </c>
      <c r="X66" s="21">
        <v>4</v>
      </c>
      <c r="Y66" s="21">
        <v>2</v>
      </c>
      <c r="Z66" s="19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</row>
    <row r="67" spans="1:32" s="25" customFormat="1" ht="19.8" customHeight="1" x14ac:dyDescent="0.3">
      <c r="A67" s="56"/>
      <c r="B67" s="73"/>
      <c r="C67" s="48" t="s">
        <v>143</v>
      </c>
      <c r="D67" s="48"/>
      <c r="E67" s="46" t="s">
        <v>44</v>
      </c>
      <c r="F67" s="47"/>
      <c r="G67" s="35">
        <v>5</v>
      </c>
      <c r="H67" s="35">
        <v>4</v>
      </c>
      <c r="I67" s="21">
        <v>4</v>
      </c>
      <c r="J67" s="21">
        <v>4</v>
      </c>
      <c r="K67" s="21">
        <v>4</v>
      </c>
      <c r="L67" s="21">
        <v>4</v>
      </c>
      <c r="M67" s="21">
        <v>4</v>
      </c>
      <c r="N67" s="21">
        <v>4</v>
      </c>
      <c r="O67" s="21">
        <v>4</v>
      </c>
      <c r="P67" s="21">
        <v>4</v>
      </c>
      <c r="Q67" s="21">
        <v>4</v>
      </c>
      <c r="R67" s="21">
        <v>4</v>
      </c>
      <c r="S67" s="21">
        <v>4</v>
      </c>
      <c r="T67" s="21">
        <v>4</v>
      </c>
      <c r="U67" s="21">
        <v>4</v>
      </c>
      <c r="V67" s="21">
        <v>4</v>
      </c>
      <c r="W67" s="21">
        <v>4</v>
      </c>
      <c r="X67" s="21">
        <v>4</v>
      </c>
      <c r="Y67" s="21">
        <v>2</v>
      </c>
      <c r="Z67" s="19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</row>
    <row r="68" spans="1:32" s="25" customFormat="1" ht="19.8" customHeight="1" x14ac:dyDescent="0.3">
      <c r="A68" s="56"/>
      <c r="B68" s="74"/>
      <c r="C68" s="46"/>
      <c r="D68" s="47"/>
      <c r="E68" s="46"/>
      <c r="F68" s="47"/>
      <c r="G68" s="35"/>
      <c r="H68" s="35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2">
        <v>1</v>
      </c>
      <c r="AA68" s="5"/>
      <c r="AB68" s="5"/>
      <c r="AC68" s="5"/>
      <c r="AD68" s="5"/>
      <c r="AE68" s="5"/>
      <c r="AF68" s="5"/>
    </row>
    <row r="69" spans="1:32" s="25" customFormat="1" ht="19.8" customHeight="1" x14ac:dyDescent="0.3">
      <c r="A69" s="56"/>
      <c r="B69" s="72" t="s">
        <v>144</v>
      </c>
      <c r="C69" s="48" t="s">
        <v>145</v>
      </c>
      <c r="D69" s="48"/>
      <c r="E69" s="45" t="s">
        <v>180</v>
      </c>
      <c r="F69" s="45"/>
      <c r="G69" s="35">
        <v>10</v>
      </c>
      <c r="H69" s="35">
        <v>10</v>
      </c>
      <c r="I69" s="21">
        <v>10</v>
      </c>
      <c r="J69" s="21">
        <v>10</v>
      </c>
      <c r="K69" s="21">
        <v>10</v>
      </c>
      <c r="L69" s="21">
        <v>10</v>
      </c>
      <c r="M69" s="21">
        <v>10</v>
      </c>
      <c r="N69" s="21">
        <v>10</v>
      </c>
      <c r="O69" s="21">
        <v>10</v>
      </c>
      <c r="P69" s="21">
        <v>10</v>
      </c>
      <c r="Q69" s="21">
        <v>10</v>
      </c>
      <c r="R69" s="21">
        <v>10</v>
      </c>
      <c r="S69" s="21">
        <v>10</v>
      </c>
      <c r="T69" s="21">
        <v>10</v>
      </c>
      <c r="U69" s="21">
        <v>10</v>
      </c>
      <c r="V69" s="21">
        <v>10</v>
      </c>
      <c r="W69" s="21">
        <v>10</v>
      </c>
      <c r="X69" s="21">
        <v>10</v>
      </c>
      <c r="Y69" s="21">
        <v>5</v>
      </c>
      <c r="Z69" s="21">
        <v>2</v>
      </c>
      <c r="AA69" s="19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</row>
    <row r="70" spans="1:32" s="25" customFormat="1" ht="19.8" customHeight="1" x14ac:dyDescent="0.3">
      <c r="A70" s="56"/>
      <c r="B70" s="73"/>
      <c r="C70" s="48" t="s">
        <v>146</v>
      </c>
      <c r="D70" s="48"/>
      <c r="E70" s="46" t="s">
        <v>80</v>
      </c>
      <c r="F70" s="47"/>
      <c r="G70" s="35">
        <v>8</v>
      </c>
      <c r="H70" s="35">
        <v>8</v>
      </c>
      <c r="I70" s="21">
        <v>8</v>
      </c>
      <c r="J70" s="21">
        <v>8</v>
      </c>
      <c r="K70" s="21">
        <v>8</v>
      </c>
      <c r="L70" s="21">
        <v>8</v>
      </c>
      <c r="M70" s="21">
        <v>8</v>
      </c>
      <c r="N70" s="21">
        <v>8</v>
      </c>
      <c r="O70" s="21">
        <v>8</v>
      </c>
      <c r="P70" s="21">
        <v>8</v>
      </c>
      <c r="Q70" s="21">
        <v>8</v>
      </c>
      <c r="R70" s="21">
        <v>8</v>
      </c>
      <c r="S70" s="21">
        <v>8</v>
      </c>
      <c r="T70" s="21">
        <v>8</v>
      </c>
      <c r="U70" s="21">
        <v>8</v>
      </c>
      <c r="V70" s="21">
        <v>8</v>
      </c>
      <c r="W70" s="21">
        <v>8</v>
      </c>
      <c r="X70" s="21">
        <v>5</v>
      </c>
      <c r="Y70" s="21">
        <v>3</v>
      </c>
      <c r="Z70" s="21">
        <v>1</v>
      </c>
      <c r="AA70" s="19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</row>
    <row r="71" spans="1:32" s="25" customFormat="1" ht="19.8" customHeight="1" x14ac:dyDescent="0.3">
      <c r="A71" s="56"/>
      <c r="B71" s="73"/>
      <c r="C71" s="48" t="s">
        <v>147</v>
      </c>
      <c r="D71" s="48"/>
      <c r="E71" s="46" t="s">
        <v>86</v>
      </c>
      <c r="F71" s="47"/>
      <c r="G71" s="35">
        <v>13</v>
      </c>
      <c r="H71" s="35">
        <v>12</v>
      </c>
      <c r="I71" s="21">
        <v>12</v>
      </c>
      <c r="J71" s="21">
        <v>12</v>
      </c>
      <c r="K71" s="21">
        <v>12</v>
      </c>
      <c r="L71" s="21">
        <v>12</v>
      </c>
      <c r="M71" s="21">
        <v>12</v>
      </c>
      <c r="N71" s="21">
        <v>12</v>
      </c>
      <c r="O71" s="21">
        <v>12</v>
      </c>
      <c r="P71" s="21">
        <v>12</v>
      </c>
      <c r="Q71" s="21">
        <v>12</v>
      </c>
      <c r="R71" s="21">
        <v>12</v>
      </c>
      <c r="S71" s="21">
        <v>12</v>
      </c>
      <c r="T71" s="21">
        <v>12</v>
      </c>
      <c r="U71" s="21">
        <v>12</v>
      </c>
      <c r="V71" s="21">
        <v>12</v>
      </c>
      <c r="W71" s="21">
        <v>12</v>
      </c>
      <c r="X71" s="21">
        <v>12</v>
      </c>
      <c r="Y71" s="21">
        <v>8</v>
      </c>
      <c r="Z71" s="21">
        <v>4</v>
      </c>
      <c r="AA71" s="19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</row>
    <row r="72" spans="1:32" s="25" customFormat="1" ht="19.8" customHeight="1" x14ac:dyDescent="0.3">
      <c r="A72" s="56"/>
      <c r="B72" s="73"/>
      <c r="C72" s="46"/>
      <c r="D72" s="47"/>
      <c r="E72" s="46"/>
      <c r="F72" s="47"/>
      <c r="G72" s="35"/>
      <c r="H72" s="35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2">
        <v>1</v>
      </c>
      <c r="AB72" s="21"/>
      <c r="AC72" s="21"/>
      <c r="AD72" s="21"/>
      <c r="AE72" s="21"/>
      <c r="AF72" s="21"/>
    </row>
    <row r="73" spans="1:32" s="25" customFormat="1" ht="19.8" customHeight="1" x14ac:dyDescent="0.3">
      <c r="A73" s="56"/>
      <c r="B73" s="73"/>
      <c r="C73" s="48" t="s">
        <v>148</v>
      </c>
      <c r="D73" s="48"/>
      <c r="E73" s="46" t="s">
        <v>80</v>
      </c>
      <c r="F73" s="47"/>
      <c r="G73" s="35">
        <v>8</v>
      </c>
      <c r="H73" s="35">
        <v>8</v>
      </c>
      <c r="I73" s="21">
        <v>8</v>
      </c>
      <c r="J73" s="21">
        <v>8</v>
      </c>
      <c r="K73" s="21">
        <v>8</v>
      </c>
      <c r="L73" s="21">
        <v>8</v>
      </c>
      <c r="M73" s="21">
        <v>8</v>
      </c>
      <c r="N73" s="21">
        <v>8</v>
      </c>
      <c r="O73" s="21">
        <v>8</v>
      </c>
      <c r="P73" s="21">
        <v>8</v>
      </c>
      <c r="Q73" s="21">
        <v>8</v>
      </c>
      <c r="R73" s="21">
        <v>8</v>
      </c>
      <c r="S73" s="21">
        <v>8</v>
      </c>
      <c r="T73" s="21">
        <v>8</v>
      </c>
      <c r="U73" s="21">
        <v>8</v>
      </c>
      <c r="V73" s="21">
        <v>8</v>
      </c>
      <c r="W73" s="21">
        <v>8</v>
      </c>
      <c r="X73" s="21">
        <v>8</v>
      </c>
      <c r="Y73" s="21">
        <v>8</v>
      </c>
      <c r="Z73" s="21">
        <v>4</v>
      </c>
      <c r="AA73" s="21">
        <v>2</v>
      </c>
      <c r="AB73" s="19">
        <v>0</v>
      </c>
      <c r="AC73" s="21">
        <v>0</v>
      </c>
      <c r="AD73" s="21">
        <v>0</v>
      </c>
      <c r="AE73" s="21">
        <v>0</v>
      </c>
      <c r="AF73" s="21">
        <v>0</v>
      </c>
    </row>
    <row r="74" spans="1:32" s="25" customFormat="1" ht="19.8" customHeight="1" x14ac:dyDescent="0.3">
      <c r="A74" s="56"/>
      <c r="B74" s="73"/>
      <c r="C74" s="48" t="s">
        <v>149</v>
      </c>
      <c r="D74" s="48"/>
      <c r="E74" s="46" t="s">
        <v>80</v>
      </c>
      <c r="F74" s="47"/>
      <c r="G74" s="35">
        <v>4</v>
      </c>
      <c r="H74" s="35">
        <v>4</v>
      </c>
      <c r="I74" s="21">
        <v>4</v>
      </c>
      <c r="J74" s="21">
        <v>4</v>
      </c>
      <c r="K74" s="21">
        <v>4</v>
      </c>
      <c r="L74" s="21">
        <v>4</v>
      </c>
      <c r="M74" s="21">
        <v>4</v>
      </c>
      <c r="N74" s="21">
        <v>4</v>
      </c>
      <c r="O74" s="21">
        <v>4</v>
      </c>
      <c r="P74" s="21">
        <v>4</v>
      </c>
      <c r="Q74" s="21">
        <v>4</v>
      </c>
      <c r="R74" s="21">
        <v>4</v>
      </c>
      <c r="S74" s="21">
        <v>4</v>
      </c>
      <c r="T74" s="21">
        <v>4</v>
      </c>
      <c r="U74" s="21">
        <v>4</v>
      </c>
      <c r="V74" s="21">
        <v>4</v>
      </c>
      <c r="W74" s="21">
        <v>4</v>
      </c>
      <c r="X74" s="21">
        <v>4</v>
      </c>
      <c r="Y74" s="21">
        <v>4</v>
      </c>
      <c r="Z74" s="21">
        <v>4</v>
      </c>
      <c r="AA74" s="21">
        <v>2</v>
      </c>
      <c r="AB74" s="19">
        <v>0</v>
      </c>
      <c r="AC74" s="21">
        <v>0</v>
      </c>
      <c r="AD74" s="21">
        <v>0</v>
      </c>
      <c r="AE74" s="21">
        <v>0</v>
      </c>
      <c r="AF74" s="21">
        <v>0</v>
      </c>
    </row>
    <row r="75" spans="1:32" s="25" customFormat="1" ht="19.8" customHeight="1" x14ac:dyDescent="0.3">
      <c r="A75" s="56"/>
      <c r="B75" s="73"/>
      <c r="C75" s="48" t="s">
        <v>150</v>
      </c>
      <c r="D75" s="48"/>
      <c r="E75" s="46" t="s">
        <v>45</v>
      </c>
      <c r="F75" s="47"/>
      <c r="G75" s="35">
        <v>8</v>
      </c>
      <c r="H75" s="35">
        <v>8</v>
      </c>
      <c r="I75" s="21">
        <v>8</v>
      </c>
      <c r="J75" s="21">
        <v>8</v>
      </c>
      <c r="K75" s="21">
        <v>8</v>
      </c>
      <c r="L75" s="21">
        <v>8</v>
      </c>
      <c r="M75" s="21">
        <v>8</v>
      </c>
      <c r="N75" s="21">
        <v>8</v>
      </c>
      <c r="O75" s="21">
        <v>8</v>
      </c>
      <c r="P75" s="21">
        <v>8</v>
      </c>
      <c r="Q75" s="21">
        <v>8</v>
      </c>
      <c r="R75" s="21">
        <v>8</v>
      </c>
      <c r="S75" s="21">
        <v>8</v>
      </c>
      <c r="T75" s="21">
        <v>8</v>
      </c>
      <c r="U75" s="21">
        <v>8</v>
      </c>
      <c r="V75" s="21">
        <v>8</v>
      </c>
      <c r="W75" s="21">
        <v>8</v>
      </c>
      <c r="X75" s="21">
        <v>8</v>
      </c>
      <c r="Y75" s="21">
        <v>8</v>
      </c>
      <c r="Z75" s="21">
        <v>5</v>
      </c>
      <c r="AA75" s="21">
        <v>3</v>
      </c>
      <c r="AB75" s="19">
        <v>0</v>
      </c>
      <c r="AC75" s="21">
        <v>0</v>
      </c>
      <c r="AD75" s="21">
        <v>0</v>
      </c>
      <c r="AE75" s="21">
        <v>0</v>
      </c>
      <c r="AF75" s="21">
        <v>0</v>
      </c>
    </row>
    <row r="76" spans="1:32" s="25" customFormat="1" ht="19.8" customHeight="1" x14ac:dyDescent="0.3">
      <c r="A76" s="56"/>
      <c r="B76" s="73"/>
      <c r="C76" s="48" t="s">
        <v>151</v>
      </c>
      <c r="D76" s="48"/>
      <c r="E76" s="46" t="s">
        <v>45</v>
      </c>
      <c r="F76" s="47"/>
      <c r="G76" s="35">
        <v>6</v>
      </c>
      <c r="H76" s="35">
        <v>6</v>
      </c>
      <c r="I76" s="21">
        <v>6</v>
      </c>
      <c r="J76" s="21">
        <v>6</v>
      </c>
      <c r="K76" s="21">
        <v>6</v>
      </c>
      <c r="L76" s="21">
        <v>6</v>
      </c>
      <c r="M76" s="21">
        <v>6</v>
      </c>
      <c r="N76" s="21">
        <v>6</v>
      </c>
      <c r="O76" s="21">
        <v>6</v>
      </c>
      <c r="P76" s="21">
        <v>6</v>
      </c>
      <c r="Q76" s="21">
        <v>6</v>
      </c>
      <c r="R76" s="21">
        <v>6</v>
      </c>
      <c r="S76" s="21">
        <v>6</v>
      </c>
      <c r="T76" s="21">
        <v>6</v>
      </c>
      <c r="U76" s="21">
        <v>6</v>
      </c>
      <c r="V76" s="21">
        <v>6</v>
      </c>
      <c r="W76" s="21">
        <v>6</v>
      </c>
      <c r="X76" s="21">
        <v>6</v>
      </c>
      <c r="Y76" s="21">
        <v>6</v>
      </c>
      <c r="Z76" s="21">
        <v>6</v>
      </c>
      <c r="AA76" s="21">
        <v>4</v>
      </c>
      <c r="AB76" s="21">
        <v>2</v>
      </c>
      <c r="AC76" s="19">
        <v>0</v>
      </c>
      <c r="AD76" s="21">
        <v>0</v>
      </c>
      <c r="AE76" s="21">
        <v>0</v>
      </c>
      <c r="AF76" s="21">
        <v>0</v>
      </c>
    </row>
    <row r="77" spans="1:32" s="25" customFormat="1" ht="19.8" customHeight="1" x14ac:dyDescent="0.3">
      <c r="A77" s="56"/>
      <c r="B77" s="73"/>
      <c r="C77" s="48" t="s">
        <v>152</v>
      </c>
      <c r="D77" s="48"/>
      <c r="E77" s="46" t="s">
        <v>45</v>
      </c>
      <c r="F77" s="47"/>
      <c r="G77" s="35">
        <v>4</v>
      </c>
      <c r="H77" s="35">
        <v>4</v>
      </c>
      <c r="I77" s="21">
        <v>4</v>
      </c>
      <c r="J77" s="21">
        <v>4</v>
      </c>
      <c r="K77" s="21">
        <v>4</v>
      </c>
      <c r="L77" s="21">
        <v>4</v>
      </c>
      <c r="M77" s="21">
        <v>4</v>
      </c>
      <c r="N77" s="21">
        <v>4</v>
      </c>
      <c r="O77" s="21">
        <v>4</v>
      </c>
      <c r="P77" s="21">
        <v>4</v>
      </c>
      <c r="Q77" s="21">
        <v>4</v>
      </c>
      <c r="R77" s="21">
        <v>4</v>
      </c>
      <c r="S77" s="21">
        <v>4</v>
      </c>
      <c r="T77" s="21">
        <v>4</v>
      </c>
      <c r="U77" s="21">
        <v>4</v>
      </c>
      <c r="V77" s="21">
        <v>4</v>
      </c>
      <c r="W77" s="21">
        <v>4</v>
      </c>
      <c r="X77" s="21">
        <v>4</v>
      </c>
      <c r="Y77" s="21">
        <v>4</v>
      </c>
      <c r="Z77" s="21">
        <v>4</v>
      </c>
      <c r="AA77" s="21">
        <v>4</v>
      </c>
      <c r="AB77" s="21">
        <v>2</v>
      </c>
      <c r="AC77" s="19">
        <v>0</v>
      </c>
      <c r="AD77" s="21">
        <v>0</v>
      </c>
      <c r="AE77" s="21">
        <v>0</v>
      </c>
      <c r="AF77" s="21">
        <v>0</v>
      </c>
    </row>
    <row r="78" spans="1:32" s="25" customFormat="1" ht="19.8" customHeight="1" x14ac:dyDescent="0.3">
      <c r="A78" s="56"/>
      <c r="B78" s="73"/>
      <c r="C78" s="48" t="s">
        <v>153</v>
      </c>
      <c r="D78" s="48"/>
      <c r="E78" s="46" t="s">
        <v>42</v>
      </c>
      <c r="F78" s="47"/>
      <c r="G78" s="35">
        <v>1</v>
      </c>
      <c r="H78" s="35">
        <v>1</v>
      </c>
      <c r="I78" s="21">
        <v>1</v>
      </c>
      <c r="J78" s="21">
        <v>1</v>
      </c>
      <c r="K78" s="21">
        <v>1</v>
      </c>
      <c r="L78" s="21">
        <v>1</v>
      </c>
      <c r="M78" s="21">
        <v>1</v>
      </c>
      <c r="N78" s="21">
        <v>1</v>
      </c>
      <c r="O78" s="21">
        <v>1</v>
      </c>
      <c r="P78" s="21">
        <v>1</v>
      </c>
      <c r="Q78" s="21">
        <v>1</v>
      </c>
      <c r="R78" s="21">
        <v>1</v>
      </c>
      <c r="S78" s="21">
        <v>1</v>
      </c>
      <c r="T78" s="21">
        <v>1</v>
      </c>
      <c r="U78" s="21">
        <v>1</v>
      </c>
      <c r="V78" s="21">
        <v>1</v>
      </c>
      <c r="W78" s="21">
        <v>1</v>
      </c>
      <c r="X78" s="21">
        <v>1</v>
      </c>
      <c r="Y78" s="21">
        <v>1</v>
      </c>
      <c r="Z78" s="21">
        <v>1</v>
      </c>
      <c r="AA78" s="21">
        <v>1</v>
      </c>
      <c r="AB78" s="21">
        <v>1</v>
      </c>
      <c r="AC78" s="19">
        <v>0</v>
      </c>
      <c r="AD78" s="21">
        <v>0</v>
      </c>
      <c r="AE78" s="21">
        <v>0</v>
      </c>
      <c r="AF78" s="21">
        <v>0</v>
      </c>
    </row>
    <row r="79" spans="1:32" s="25" customFormat="1" ht="19.8" customHeight="1" x14ac:dyDescent="0.3">
      <c r="A79" s="56"/>
      <c r="B79" s="73"/>
      <c r="C79" s="48" t="s">
        <v>154</v>
      </c>
      <c r="D79" s="48"/>
      <c r="E79" s="46" t="s">
        <v>45</v>
      </c>
      <c r="F79" s="47"/>
      <c r="G79" s="35">
        <v>7</v>
      </c>
      <c r="H79" s="35">
        <v>9</v>
      </c>
      <c r="I79" s="21">
        <v>9</v>
      </c>
      <c r="J79" s="21">
        <v>9</v>
      </c>
      <c r="K79" s="21">
        <v>9</v>
      </c>
      <c r="L79" s="21">
        <v>9</v>
      </c>
      <c r="M79" s="21">
        <v>9</v>
      </c>
      <c r="N79" s="21">
        <v>9</v>
      </c>
      <c r="O79" s="21">
        <v>9</v>
      </c>
      <c r="P79" s="21">
        <v>9</v>
      </c>
      <c r="Q79" s="21">
        <v>9</v>
      </c>
      <c r="R79" s="21">
        <v>9</v>
      </c>
      <c r="S79" s="21">
        <v>9</v>
      </c>
      <c r="T79" s="21">
        <v>9</v>
      </c>
      <c r="U79" s="21">
        <v>9</v>
      </c>
      <c r="V79" s="21">
        <v>9</v>
      </c>
      <c r="W79" s="21">
        <v>9</v>
      </c>
      <c r="X79" s="21">
        <v>9</v>
      </c>
      <c r="Y79" s="21">
        <v>9</v>
      </c>
      <c r="Z79" s="21">
        <v>9</v>
      </c>
      <c r="AA79" s="21">
        <v>6</v>
      </c>
      <c r="AB79" s="21">
        <v>3</v>
      </c>
      <c r="AC79" s="19">
        <v>0</v>
      </c>
      <c r="AD79" s="21">
        <v>0</v>
      </c>
      <c r="AE79" s="21">
        <v>0</v>
      </c>
      <c r="AF79" s="21">
        <v>0</v>
      </c>
    </row>
    <row r="80" spans="1:32" s="25" customFormat="1" ht="19.8" customHeight="1" x14ac:dyDescent="0.3">
      <c r="A80" s="56"/>
      <c r="B80" s="74"/>
      <c r="C80" s="46"/>
      <c r="D80" s="47"/>
      <c r="E80" s="46"/>
      <c r="F80" s="47"/>
      <c r="G80" s="35"/>
      <c r="H80" s="35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0">
        <v>2</v>
      </c>
      <c r="AD80" s="21"/>
      <c r="AE80" s="21"/>
      <c r="AF80" s="21"/>
    </row>
    <row r="81" spans="1:32" s="25" customFormat="1" ht="19.8" customHeight="1" x14ac:dyDescent="0.3">
      <c r="A81" s="56"/>
      <c r="B81" s="72" t="s">
        <v>156</v>
      </c>
      <c r="C81" s="75" t="s">
        <v>157</v>
      </c>
      <c r="D81" s="76"/>
      <c r="E81" s="46" t="s">
        <v>86</v>
      </c>
      <c r="F81" s="47"/>
      <c r="G81" s="35">
        <v>9</v>
      </c>
      <c r="H81" s="35">
        <v>9</v>
      </c>
      <c r="I81" s="21">
        <v>9</v>
      </c>
      <c r="J81" s="21">
        <v>9</v>
      </c>
      <c r="K81" s="21">
        <v>9</v>
      </c>
      <c r="L81" s="21">
        <v>9</v>
      </c>
      <c r="M81" s="21">
        <v>9</v>
      </c>
      <c r="N81" s="21">
        <v>9</v>
      </c>
      <c r="O81" s="21">
        <v>9</v>
      </c>
      <c r="P81" s="21">
        <v>9</v>
      </c>
      <c r="Q81" s="21">
        <v>9</v>
      </c>
      <c r="R81" s="21">
        <v>9</v>
      </c>
      <c r="S81" s="21">
        <v>9</v>
      </c>
      <c r="T81" s="21">
        <v>9</v>
      </c>
      <c r="U81" s="21">
        <v>9</v>
      </c>
      <c r="V81" s="21">
        <v>9</v>
      </c>
      <c r="W81" s="21">
        <v>9</v>
      </c>
      <c r="X81" s="21">
        <v>9</v>
      </c>
      <c r="Y81" s="21">
        <v>9</v>
      </c>
      <c r="Z81" s="21">
        <v>9</v>
      </c>
      <c r="AA81" s="21">
        <v>9</v>
      </c>
      <c r="AB81" s="21">
        <v>6</v>
      </c>
      <c r="AC81" s="21">
        <v>3</v>
      </c>
      <c r="AD81" s="19">
        <v>0</v>
      </c>
      <c r="AE81" s="21">
        <v>0</v>
      </c>
      <c r="AF81" s="21">
        <v>0</v>
      </c>
    </row>
    <row r="82" spans="1:32" s="25" customFormat="1" ht="19.8" customHeight="1" x14ac:dyDescent="0.3">
      <c r="A82" s="56"/>
      <c r="B82" s="73"/>
      <c r="C82" s="75" t="s">
        <v>166</v>
      </c>
      <c r="D82" s="76"/>
      <c r="E82" s="46" t="s">
        <v>133</v>
      </c>
      <c r="F82" s="47"/>
      <c r="G82" s="35">
        <v>8</v>
      </c>
      <c r="H82" s="35">
        <v>8</v>
      </c>
      <c r="I82" s="21">
        <v>8</v>
      </c>
      <c r="J82" s="21">
        <v>8</v>
      </c>
      <c r="K82" s="21">
        <v>8</v>
      </c>
      <c r="L82" s="21">
        <v>8</v>
      </c>
      <c r="M82" s="21">
        <v>8</v>
      </c>
      <c r="N82" s="21">
        <v>8</v>
      </c>
      <c r="O82" s="21">
        <v>8</v>
      </c>
      <c r="P82" s="21">
        <v>8</v>
      </c>
      <c r="Q82" s="21">
        <v>8</v>
      </c>
      <c r="R82" s="21">
        <v>8</v>
      </c>
      <c r="S82" s="21">
        <v>8</v>
      </c>
      <c r="T82" s="21">
        <v>8</v>
      </c>
      <c r="U82" s="21">
        <v>8</v>
      </c>
      <c r="V82" s="21">
        <v>8</v>
      </c>
      <c r="W82" s="21">
        <v>8</v>
      </c>
      <c r="X82" s="21">
        <v>8</v>
      </c>
      <c r="Y82" s="21">
        <v>8</v>
      </c>
      <c r="Z82" s="21">
        <v>8</v>
      </c>
      <c r="AA82" s="21">
        <v>5</v>
      </c>
      <c r="AB82" s="21">
        <v>4</v>
      </c>
      <c r="AC82" s="21">
        <v>1</v>
      </c>
      <c r="AD82" s="19">
        <v>0</v>
      </c>
      <c r="AE82" s="21">
        <v>0</v>
      </c>
      <c r="AF82" s="21">
        <v>0</v>
      </c>
    </row>
    <row r="83" spans="1:32" s="25" customFormat="1" ht="19.8" customHeight="1" x14ac:dyDescent="0.3">
      <c r="A83" s="56"/>
      <c r="B83" s="73"/>
      <c r="C83" s="75" t="s">
        <v>158</v>
      </c>
      <c r="D83" s="76"/>
      <c r="E83" s="46" t="s">
        <v>46</v>
      </c>
      <c r="F83" s="47"/>
      <c r="G83" s="35">
        <v>6</v>
      </c>
      <c r="H83" s="35">
        <v>6</v>
      </c>
      <c r="I83" s="21">
        <v>6</v>
      </c>
      <c r="J83" s="21">
        <v>6</v>
      </c>
      <c r="K83" s="21">
        <v>6</v>
      </c>
      <c r="L83" s="21">
        <v>6</v>
      </c>
      <c r="M83" s="21">
        <v>6</v>
      </c>
      <c r="N83" s="21">
        <v>6</v>
      </c>
      <c r="O83" s="21">
        <v>6</v>
      </c>
      <c r="P83" s="21">
        <v>6</v>
      </c>
      <c r="Q83" s="21">
        <v>6</v>
      </c>
      <c r="R83" s="21">
        <v>6</v>
      </c>
      <c r="S83" s="21">
        <v>6</v>
      </c>
      <c r="T83" s="21">
        <v>6</v>
      </c>
      <c r="U83" s="21">
        <v>6</v>
      </c>
      <c r="V83" s="21">
        <v>6</v>
      </c>
      <c r="W83" s="21">
        <v>6</v>
      </c>
      <c r="X83" s="21">
        <v>6</v>
      </c>
      <c r="Y83" s="21">
        <v>6</v>
      </c>
      <c r="Z83" s="21">
        <v>6</v>
      </c>
      <c r="AA83" s="21">
        <v>6</v>
      </c>
      <c r="AB83" s="21">
        <v>4</v>
      </c>
      <c r="AC83" s="21">
        <v>2</v>
      </c>
      <c r="AD83" s="19">
        <v>0</v>
      </c>
      <c r="AE83" s="21">
        <v>0</v>
      </c>
      <c r="AF83" s="21">
        <v>0</v>
      </c>
    </row>
    <row r="84" spans="1:32" s="25" customFormat="1" ht="19.8" customHeight="1" x14ac:dyDescent="0.3">
      <c r="A84" s="56"/>
      <c r="B84" s="73"/>
      <c r="C84" s="75" t="s">
        <v>159</v>
      </c>
      <c r="D84" s="76"/>
      <c r="E84" s="46" t="s">
        <v>80</v>
      </c>
      <c r="F84" s="47"/>
      <c r="G84" s="35">
        <v>12</v>
      </c>
      <c r="H84" s="35">
        <v>10</v>
      </c>
      <c r="I84" s="21">
        <v>10</v>
      </c>
      <c r="J84" s="21">
        <v>10</v>
      </c>
      <c r="K84" s="21">
        <v>10</v>
      </c>
      <c r="L84" s="21">
        <v>10</v>
      </c>
      <c r="M84" s="21">
        <v>10</v>
      </c>
      <c r="N84" s="21">
        <v>10</v>
      </c>
      <c r="O84" s="21">
        <v>10</v>
      </c>
      <c r="P84" s="21">
        <v>10</v>
      </c>
      <c r="Q84" s="21">
        <v>10</v>
      </c>
      <c r="R84" s="21">
        <v>10</v>
      </c>
      <c r="S84" s="21">
        <v>10</v>
      </c>
      <c r="T84" s="21">
        <v>10</v>
      </c>
      <c r="U84" s="21">
        <v>10</v>
      </c>
      <c r="V84" s="21">
        <v>10</v>
      </c>
      <c r="W84" s="21">
        <v>10</v>
      </c>
      <c r="X84" s="21">
        <v>10</v>
      </c>
      <c r="Y84" s="21">
        <v>10</v>
      </c>
      <c r="Z84" s="21">
        <v>10</v>
      </c>
      <c r="AA84" s="21">
        <v>10</v>
      </c>
      <c r="AB84" s="21">
        <v>5</v>
      </c>
      <c r="AC84" s="21">
        <v>2</v>
      </c>
      <c r="AD84" s="19">
        <v>0</v>
      </c>
      <c r="AE84" s="21">
        <v>0</v>
      </c>
      <c r="AF84" s="21">
        <v>0</v>
      </c>
    </row>
    <row r="85" spans="1:32" s="25" customFormat="1" ht="19.8" customHeight="1" x14ac:dyDescent="0.3">
      <c r="A85" s="56"/>
      <c r="B85" s="73"/>
      <c r="C85" s="46"/>
      <c r="D85" s="47"/>
      <c r="E85" s="46"/>
      <c r="F85" s="47"/>
      <c r="G85" s="35"/>
      <c r="H85" s="35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2">
        <v>2</v>
      </c>
      <c r="AE85" s="21"/>
      <c r="AF85" s="21"/>
    </row>
    <row r="86" spans="1:32" s="25" customFormat="1" ht="19.8" customHeight="1" x14ac:dyDescent="0.3">
      <c r="A86" s="56"/>
      <c r="B86" s="73"/>
      <c r="C86" s="75" t="s">
        <v>160</v>
      </c>
      <c r="D86" s="76"/>
      <c r="E86" s="46" t="s">
        <v>45</v>
      </c>
      <c r="F86" s="47"/>
      <c r="G86" s="35">
        <v>5</v>
      </c>
      <c r="H86" s="35">
        <v>6</v>
      </c>
      <c r="I86" s="21">
        <v>6</v>
      </c>
      <c r="J86" s="21">
        <v>6</v>
      </c>
      <c r="K86" s="21">
        <v>6</v>
      </c>
      <c r="L86" s="21">
        <v>6</v>
      </c>
      <c r="M86" s="21">
        <v>6</v>
      </c>
      <c r="N86" s="21">
        <v>6</v>
      </c>
      <c r="O86" s="21">
        <v>6</v>
      </c>
      <c r="P86" s="21">
        <v>6</v>
      </c>
      <c r="Q86" s="21">
        <v>6</v>
      </c>
      <c r="R86" s="21">
        <v>6</v>
      </c>
      <c r="S86" s="21">
        <v>6</v>
      </c>
      <c r="T86" s="21">
        <v>6</v>
      </c>
      <c r="U86" s="21">
        <v>6</v>
      </c>
      <c r="V86" s="21">
        <v>6</v>
      </c>
      <c r="W86" s="21">
        <v>6</v>
      </c>
      <c r="X86" s="21">
        <v>6</v>
      </c>
      <c r="Y86" s="21">
        <v>6</v>
      </c>
      <c r="Z86" s="21">
        <v>6</v>
      </c>
      <c r="AA86" s="21">
        <v>6</v>
      </c>
      <c r="AB86" s="21">
        <v>3</v>
      </c>
      <c r="AC86" s="21">
        <v>1</v>
      </c>
      <c r="AD86" s="19">
        <v>0</v>
      </c>
      <c r="AE86" s="21">
        <v>0</v>
      </c>
      <c r="AF86" s="21">
        <v>0</v>
      </c>
    </row>
    <row r="87" spans="1:32" s="25" customFormat="1" ht="19.8" customHeight="1" x14ac:dyDescent="0.3">
      <c r="A87" s="56"/>
      <c r="B87" s="73"/>
      <c r="C87" s="46"/>
      <c r="D87" s="47"/>
      <c r="E87" s="46"/>
      <c r="F87" s="47"/>
      <c r="G87" s="35"/>
      <c r="H87" s="35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0">
        <v>1</v>
      </c>
      <c r="AE87" s="21"/>
      <c r="AF87" s="21"/>
    </row>
    <row r="88" spans="1:32" s="25" customFormat="1" ht="19.8" customHeight="1" x14ac:dyDescent="0.3">
      <c r="A88" s="56"/>
      <c r="B88" s="73"/>
      <c r="C88" s="75" t="s">
        <v>161</v>
      </c>
      <c r="D88" s="76"/>
      <c r="E88" s="46" t="s">
        <v>133</v>
      </c>
      <c r="F88" s="47"/>
      <c r="G88" s="35">
        <v>8</v>
      </c>
      <c r="H88" s="35">
        <v>8</v>
      </c>
      <c r="I88" s="21">
        <v>8</v>
      </c>
      <c r="J88" s="21">
        <v>8</v>
      </c>
      <c r="K88" s="21">
        <v>8</v>
      </c>
      <c r="L88" s="21">
        <v>8</v>
      </c>
      <c r="M88" s="21">
        <v>8</v>
      </c>
      <c r="N88" s="21">
        <v>8</v>
      </c>
      <c r="O88" s="21">
        <v>8</v>
      </c>
      <c r="P88" s="21">
        <v>8</v>
      </c>
      <c r="Q88" s="21">
        <v>8</v>
      </c>
      <c r="R88" s="21">
        <v>8</v>
      </c>
      <c r="S88" s="21">
        <v>8</v>
      </c>
      <c r="T88" s="21">
        <v>8</v>
      </c>
      <c r="U88" s="21">
        <v>8</v>
      </c>
      <c r="V88" s="21">
        <v>8</v>
      </c>
      <c r="W88" s="21">
        <v>8</v>
      </c>
      <c r="X88" s="21">
        <v>8</v>
      </c>
      <c r="Y88" s="21">
        <v>8</v>
      </c>
      <c r="Z88" s="21">
        <v>8</v>
      </c>
      <c r="AA88" s="21">
        <v>8</v>
      </c>
      <c r="AB88" s="21">
        <v>4</v>
      </c>
      <c r="AC88" s="21">
        <v>2</v>
      </c>
      <c r="AD88" s="19">
        <v>0</v>
      </c>
      <c r="AE88" s="21">
        <v>0</v>
      </c>
      <c r="AF88" s="21">
        <v>0</v>
      </c>
    </row>
    <row r="89" spans="1:32" s="25" customFormat="1" ht="19.8" customHeight="1" x14ac:dyDescent="0.3">
      <c r="A89" s="56"/>
      <c r="B89" s="73"/>
      <c r="C89" s="75" t="s">
        <v>162</v>
      </c>
      <c r="D89" s="76"/>
      <c r="E89" s="46" t="s">
        <v>44</v>
      </c>
      <c r="F89" s="47"/>
      <c r="G89" s="35">
        <v>1</v>
      </c>
      <c r="H89" s="35">
        <v>2</v>
      </c>
      <c r="I89" s="21">
        <v>2</v>
      </c>
      <c r="J89" s="21">
        <v>2</v>
      </c>
      <c r="K89" s="21">
        <v>2</v>
      </c>
      <c r="L89" s="21">
        <v>2</v>
      </c>
      <c r="M89" s="21">
        <v>2</v>
      </c>
      <c r="N89" s="21">
        <v>2</v>
      </c>
      <c r="O89" s="21">
        <v>2</v>
      </c>
      <c r="P89" s="21">
        <v>2</v>
      </c>
      <c r="Q89" s="21">
        <v>2</v>
      </c>
      <c r="R89" s="21">
        <v>2</v>
      </c>
      <c r="S89" s="21">
        <v>2</v>
      </c>
      <c r="T89" s="21">
        <v>2</v>
      </c>
      <c r="U89" s="21">
        <v>2</v>
      </c>
      <c r="V89" s="21">
        <v>2</v>
      </c>
      <c r="W89" s="21">
        <v>2</v>
      </c>
      <c r="X89" s="21">
        <v>2</v>
      </c>
      <c r="Y89" s="21">
        <v>2</v>
      </c>
      <c r="Z89" s="21">
        <v>2</v>
      </c>
      <c r="AA89" s="21">
        <v>2</v>
      </c>
      <c r="AB89" s="21">
        <v>2</v>
      </c>
      <c r="AC89" s="21">
        <v>2</v>
      </c>
      <c r="AD89" s="21">
        <v>1</v>
      </c>
      <c r="AE89" s="19">
        <v>0</v>
      </c>
      <c r="AF89" s="21">
        <v>0</v>
      </c>
    </row>
    <row r="90" spans="1:32" s="25" customFormat="1" ht="19.8" customHeight="1" x14ac:dyDescent="0.3">
      <c r="A90" s="56"/>
      <c r="B90" s="73"/>
      <c r="C90" s="46"/>
      <c r="D90" s="47"/>
      <c r="E90" s="46"/>
      <c r="F90" s="47"/>
      <c r="G90" s="35"/>
      <c r="H90" s="35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0">
        <v>1</v>
      </c>
      <c r="AF90" s="21"/>
    </row>
    <row r="91" spans="1:32" s="25" customFormat="1" ht="19.8" customHeight="1" x14ac:dyDescent="0.3">
      <c r="A91" s="56"/>
      <c r="B91" s="73"/>
      <c r="C91" s="70" t="s">
        <v>163</v>
      </c>
      <c r="D91" s="71"/>
      <c r="E91" s="46" t="s">
        <v>47</v>
      </c>
      <c r="F91" s="47"/>
      <c r="G91" s="35">
        <v>3</v>
      </c>
      <c r="H91" s="35">
        <v>3</v>
      </c>
      <c r="I91" s="21">
        <v>3</v>
      </c>
      <c r="J91" s="21">
        <v>3</v>
      </c>
      <c r="K91" s="21">
        <v>3</v>
      </c>
      <c r="L91" s="21">
        <v>3</v>
      </c>
      <c r="M91" s="21">
        <v>3</v>
      </c>
      <c r="N91" s="21">
        <v>3</v>
      </c>
      <c r="O91" s="21">
        <v>3</v>
      </c>
      <c r="P91" s="21">
        <v>3</v>
      </c>
      <c r="Q91" s="21">
        <v>3</v>
      </c>
      <c r="R91" s="21">
        <v>3</v>
      </c>
      <c r="S91" s="21">
        <v>3</v>
      </c>
      <c r="T91" s="21">
        <v>3</v>
      </c>
      <c r="U91" s="21">
        <v>3</v>
      </c>
      <c r="V91" s="21">
        <v>3</v>
      </c>
      <c r="W91" s="21">
        <v>3</v>
      </c>
      <c r="X91" s="21">
        <v>3</v>
      </c>
      <c r="Y91" s="21">
        <v>3</v>
      </c>
      <c r="Z91" s="21">
        <v>3</v>
      </c>
      <c r="AA91" s="21">
        <v>3</v>
      </c>
      <c r="AB91" s="21">
        <v>3</v>
      </c>
      <c r="AC91" s="21">
        <v>3</v>
      </c>
      <c r="AD91" s="21">
        <v>1</v>
      </c>
      <c r="AE91" s="19">
        <v>0</v>
      </c>
      <c r="AF91" s="21">
        <v>0</v>
      </c>
    </row>
    <row r="92" spans="1:32" s="25" customFormat="1" ht="19.8" customHeight="1" x14ac:dyDescent="0.3">
      <c r="A92" s="56"/>
      <c r="B92" s="73"/>
      <c r="C92" s="70" t="s">
        <v>164</v>
      </c>
      <c r="D92" s="71"/>
      <c r="E92" s="46" t="s">
        <v>42</v>
      </c>
      <c r="F92" s="47"/>
      <c r="G92" s="35">
        <v>1</v>
      </c>
      <c r="H92" s="35">
        <v>1</v>
      </c>
      <c r="I92" s="21">
        <v>1</v>
      </c>
      <c r="J92" s="21">
        <v>1</v>
      </c>
      <c r="K92" s="21">
        <v>1</v>
      </c>
      <c r="L92" s="21">
        <v>1</v>
      </c>
      <c r="M92" s="21">
        <v>1</v>
      </c>
      <c r="N92" s="21">
        <v>1</v>
      </c>
      <c r="O92" s="21">
        <v>1</v>
      </c>
      <c r="P92" s="21">
        <v>1</v>
      </c>
      <c r="Q92" s="21">
        <v>1</v>
      </c>
      <c r="R92" s="21">
        <v>1</v>
      </c>
      <c r="S92" s="21">
        <v>1</v>
      </c>
      <c r="T92" s="21">
        <v>1</v>
      </c>
      <c r="U92" s="21">
        <v>1</v>
      </c>
      <c r="V92" s="21">
        <v>1</v>
      </c>
      <c r="W92" s="21">
        <v>1</v>
      </c>
      <c r="X92" s="21">
        <v>1</v>
      </c>
      <c r="Y92" s="21">
        <v>1</v>
      </c>
      <c r="Z92" s="21">
        <v>1</v>
      </c>
      <c r="AA92" s="21">
        <v>1</v>
      </c>
      <c r="AB92" s="21">
        <v>1</v>
      </c>
      <c r="AC92" s="21">
        <v>1</v>
      </c>
      <c r="AD92" s="21">
        <v>1</v>
      </c>
      <c r="AE92" s="19">
        <v>0</v>
      </c>
      <c r="AF92" s="21">
        <v>0</v>
      </c>
    </row>
    <row r="93" spans="1:32" s="25" customFormat="1" ht="19.8" customHeight="1" x14ac:dyDescent="0.3">
      <c r="A93" s="56"/>
      <c r="B93" s="73"/>
      <c r="C93" s="75" t="s">
        <v>165</v>
      </c>
      <c r="D93" s="76"/>
      <c r="E93" s="46" t="s">
        <v>90</v>
      </c>
      <c r="F93" s="47"/>
      <c r="G93" s="35">
        <v>4</v>
      </c>
      <c r="H93" s="35">
        <v>2</v>
      </c>
      <c r="I93" s="21">
        <v>2</v>
      </c>
      <c r="J93" s="21">
        <v>2</v>
      </c>
      <c r="K93" s="21">
        <v>2</v>
      </c>
      <c r="L93" s="21">
        <v>2</v>
      </c>
      <c r="M93" s="21">
        <v>2</v>
      </c>
      <c r="N93" s="21">
        <v>2</v>
      </c>
      <c r="O93" s="21">
        <v>2</v>
      </c>
      <c r="P93" s="21">
        <v>2</v>
      </c>
      <c r="Q93" s="21">
        <v>2</v>
      </c>
      <c r="R93" s="21">
        <v>2</v>
      </c>
      <c r="S93" s="21">
        <v>2</v>
      </c>
      <c r="T93" s="21">
        <v>2</v>
      </c>
      <c r="U93" s="21">
        <v>2</v>
      </c>
      <c r="V93" s="21">
        <v>2</v>
      </c>
      <c r="W93" s="21">
        <v>2</v>
      </c>
      <c r="X93" s="21">
        <v>2</v>
      </c>
      <c r="Y93" s="21">
        <v>2</v>
      </c>
      <c r="Z93" s="21">
        <v>2</v>
      </c>
      <c r="AA93" s="21">
        <v>2</v>
      </c>
      <c r="AB93" s="21">
        <v>2</v>
      </c>
      <c r="AC93" s="21">
        <v>2</v>
      </c>
      <c r="AD93" s="21">
        <v>1</v>
      </c>
      <c r="AE93" s="19">
        <v>0</v>
      </c>
      <c r="AF93" s="21">
        <v>0</v>
      </c>
    </row>
    <row r="94" spans="1:32" s="25" customFormat="1" ht="19.8" customHeight="1" x14ac:dyDescent="0.3">
      <c r="A94" s="56"/>
      <c r="B94" s="74"/>
      <c r="C94" s="46"/>
      <c r="D94" s="47"/>
      <c r="E94" s="46"/>
      <c r="F94" s="47"/>
      <c r="G94" s="35"/>
      <c r="H94" s="35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2">
        <v>2</v>
      </c>
      <c r="AF94" s="21"/>
    </row>
    <row r="95" spans="1:32" s="25" customFormat="1" ht="19.8" customHeight="1" x14ac:dyDescent="0.3">
      <c r="A95" s="56"/>
      <c r="B95" s="56" t="s">
        <v>167</v>
      </c>
      <c r="C95" s="48" t="s">
        <v>168</v>
      </c>
      <c r="D95" s="48"/>
      <c r="E95" s="57" t="s">
        <v>90</v>
      </c>
      <c r="F95" s="57"/>
      <c r="G95" s="35">
        <v>5</v>
      </c>
      <c r="H95" s="35">
        <v>5</v>
      </c>
      <c r="I95" s="21">
        <v>5</v>
      </c>
      <c r="J95" s="21">
        <v>5</v>
      </c>
      <c r="K95" s="21">
        <v>5</v>
      </c>
      <c r="L95" s="21">
        <v>5</v>
      </c>
      <c r="M95" s="21">
        <v>5</v>
      </c>
      <c r="N95" s="21">
        <v>5</v>
      </c>
      <c r="O95" s="21">
        <v>5</v>
      </c>
      <c r="P95" s="21">
        <v>5</v>
      </c>
      <c r="Q95" s="21">
        <v>5</v>
      </c>
      <c r="R95" s="21">
        <v>5</v>
      </c>
      <c r="S95" s="21">
        <v>5</v>
      </c>
      <c r="T95" s="21">
        <v>5</v>
      </c>
      <c r="U95" s="21">
        <v>5</v>
      </c>
      <c r="V95" s="21">
        <v>5</v>
      </c>
      <c r="W95" s="21">
        <v>5</v>
      </c>
      <c r="X95" s="21">
        <v>5</v>
      </c>
      <c r="Y95" s="21">
        <v>5</v>
      </c>
      <c r="Z95" s="21">
        <v>5</v>
      </c>
      <c r="AA95" s="21">
        <v>5</v>
      </c>
      <c r="AB95" s="21">
        <v>5</v>
      </c>
      <c r="AC95" s="21">
        <v>5</v>
      </c>
      <c r="AD95" s="21">
        <v>5</v>
      </c>
      <c r="AE95" s="21">
        <v>5</v>
      </c>
      <c r="AF95" s="19">
        <v>0</v>
      </c>
    </row>
    <row r="96" spans="1:32" s="25" customFormat="1" ht="19.8" customHeight="1" x14ac:dyDescent="0.3">
      <c r="A96" s="56"/>
      <c r="B96" s="56"/>
      <c r="C96" s="48" t="s">
        <v>169</v>
      </c>
      <c r="D96" s="48"/>
      <c r="E96" s="57" t="s">
        <v>90</v>
      </c>
      <c r="F96" s="57"/>
      <c r="G96" s="35">
        <v>5</v>
      </c>
      <c r="H96" s="35">
        <v>5</v>
      </c>
      <c r="I96" s="21">
        <v>5</v>
      </c>
      <c r="J96" s="21">
        <v>5</v>
      </c>
      <c r="K96" s="21">
        <v>5</v>
      </c>
      <c r="L96" s="21">
        <v>5</v>
      </c>
      <c r="M96" s="21">
        <v>5</v>
      </c>
      <c r="N96" s="21">
        <v>5</v>
      </c>
      <c r="O96" s="21">
        <v>5</v>
      </c>
      <c r="P96" s="21">
        <v>5</v>
      </c>
      <c r="Q96" s="21">
        <v>5</v>
      </c>
      <c r="R96" s="21">
        <v>5</v>
      </c>
      <c r="S96" s="21">
        <v>5</v>
      </c>
      <c r="T96" s="21">
        <v>5</v>
      </c>
      <c r="U96" s="21">
        <v>5</v>
      </c>
      <c r="V96" s="21">
        <v>5</v>
      </c>
      <c r="W96" s="21">
        <v>5</v>
      </c>
      <c r="X96" s="21">
        <v>5</v>
      </c>
      <c r="Y96" s="21">
        <v>5</v>
      </c>
      <c r="Z96" s="21">
        <v>5</v>
      </c>
      <c r="AA96" s="21">
        <v>5</v>
      </c>
      <c r="AB96" s="21">
        <v>5</v>
      </c>
      <c r="AC96" s="21">
        <v>5</v>
      </c>
      <c r="AD96" s="21">
        <v>5</v>
      </c>
      <c r="AE96" s="21">
        <v>5</v>
      </c>
      <c r="AF96" s="19">
        <v>0</v>
      </c>
    </row>
    <row r="97" spans="1:32" s="25" customFormat="1" ht="19.8" customHeight="1" x14ac:dyDescent="0.3">
      <c r="A97" s="56"/>
      <c r="B97" s="69" t="s">
        <v>11</v>
      </c>
      <c r="C97" s="69"/>
      <c r="D97" s="69"/>
      <c r="E97" s="77" t="s">
        <v>10</v>
      </c>
      <c r="F97" s="77"/>
      <c r="G97" s="78">
        <f>SUM(G16:G96)</f>
        <v>463</v>
      </c>
      <c r="H97" s="79"/>
      <c r="I97" s="5">
        <f>SUM(I16:I96)</f>
        <v>450</v>
      </c>
      <c r="J97" s="5">
        <f>SUM(J16:J96)</f>
        <v>426</v>
      </c>
      <c r="K97" s="5">
        <f>SUM(K16:K96) + K21 - K21</f>
        <v>415</v>
      </c>
      <c r="L97" s="5">
        <f>SUM(L16:L96)</f>
        <v>388</v>
      </c>
      <c r="M97" s="5">
        <f>SUM(M16:M96) + M36 + M30 - M30 - M36</f>
        <v>370</v>
      </c>
      <c r="N97" s="5">
        <f>SUM(N16:N96)</f>
        <v>343</v>
      </c>
      <c r="O97" s="5">
        <f>SUM(O16:O96) + O40 - O40</f>
        <v>327</v>
      </c>
      <c r="P97" s="5">
        <f>SUM(P16:P96) - (P43*2)</f>
        <v>295</v>
      </c>
      <c r="Q97" s="5">
        <f>SUM(Q16:Q96) + Q47 - Q47</f>
        <v>271</v>
      </c>
      <c r="R97" s="5">
        <f>SUM(R16:R96)</f>
        <v>252</v>
      </c>
      <c r="S97" s="5">
        <f>SUM(S16:S96) - S51 + S51</f>
        <v>238</v>
      </c>
      <c r="T97" s="5">
        <f>SUM(T16:T96) + T53 - T53</f>
        <v>219</v>
      </c>
      <c r="U97" s="5">
        <f>SUM(U16:U96)</f>
        <v>201</v>
      </c>
      <c r="V97" s="5">
        <f>SUM(V16:V96)</f>
        <v>182</v>
      </c>
      <c r="W97" s="5">
        <f>SUM(W16:W96)</f>
        <v>167</v>
      </c>
      <c r="X97" s="5">
        <f>SUM(X16:X96)</f>
        <v>147</v>
      </c>
      <c r="Y97" s="5">
        <f>SUM(Y16:Y96) - (Y62*2)</f>
        <v>125</v>
      </c>
      <c r="Z97" s="5">
        <f>SUM(Z16:Z96) + Z68 - Z68</f>
        <v>106</v>
      </c>
      <c r="AA97" s="5">
        <f>SUM(AA16:AA96) + AA72 - AA72</f>
        <v>85</v>
      </c>
      <c r="AB97" s="5">
        <f>SUM(AB16:AB96)</f>
        <v>52</v>
      </c>
      <c r="AC97" s="5">
        <f>SUM(AC16:AC96) - (AC80*2)</f>
        <v>27</v>
      </c>
      <c r="AD97" s="5">
        <f>SUM(AD16:AD96) + AD85 - (AD87*2) - AD85</f>
        <v>15</v>
      </c>
      <c r="AE97" s="5">
        <f>SUM(AE16:AE96) - (AE90*2) + AE94 - AE94</f>
        <v>11</v>
      </c>
      <c r="AF97" s="5">
        <f>SUM(AF16:AF96)</f>
        <v>0</v>
      </c>
    </row>
    <row r="98" spans="1:32" s="25" customFormat="1" ht="19.8" customHeight="1" x14ac:dyDescent="0.3">
      <c r="A98" s="56"/>
      <c r="B98" s="69"/>
      <c r="C98" s="69"/>
      <c r="D98" s="69"/>
      <c r="E98" s="77" t="s">
        <v>14</v>
      </c>
      <c r="F98" s="77"/>
      <c r="G98" s="78">
        <f>SUM(H16:H96)</f>
        <v>450</v>
      </c>
      <c r="H98" s="79"/>
      <c r="I98" s="5">
        <f>SUM(I16:I96)</f>
        <v>450</v>
      </c>
      <c r="J98" s="5">
        <f>SUM(J16:J96)</f>
        <v>426</v>
      </c>
      <c r="K98" s="5">
        <f>SUM(K16:K96) - K21</f>
        <v>413</v>
      </c>
      <c r="L98" s="5">
        <f>SUM(L16:L96)</f>
        <v>388</v>
      </c>
      <c r="M98" s="24">
        <f>SUM(M16:M96) - M30 - M36</f>
        <v>366</v>
      </c>
      <c r="N98" s="5">
        <f t="shared" ref="N98:AF98" si="0">SUM(N16:N96)</f>
        <v>343</v>
      </c>
      <c r="O98" s="5">
        <f>SUM(O16:O96) - O40</f>
        <v>325</v>
      </c>
      <c r="P98" s="5">
        <f>SUM(P16:P96) - P43</f>
        <v>297</v>
      </c>
      <c r="Q98" s="5">
        <f>SUM(Q16:Q96) - Q47</f>
        <v>269</v>
      </c>
      <c r="R98" s="5">
        <f>SUM(R16:R96)</f>
        <v>252</v>
      </c>
      <c r="S98" s="5">
        <f>SUM(S16:S96) - S51</f>
        <v>236</v>
      </c>
      <c r="T98" s="5">
        <f>SUM(T16:T96) - T53</f>
        <v>217</v>
      </c>
      <c r="U98" s="5">
        <f t="shared" si="0"/>
        <v>201</v>
      </c>
      <c r="V98" s="5">
        <f t="shared" si="0"/>
        <v>182</v>
      </c>
      <c r="W98" s="5">
        <f t="shared" si="0"/>
        <v>167</v>
      </c>
      <c r="X98" s="5">
        <f>SUM(X16:X96)</f>
        <v>147</v>
      </c>
      <c r="Y98" s="5">
        <f>SUM(Y16:Y96) - Y62</f>
        <v>126</v>
      </c>
      <c r="Z98" s="5">
        <f>SUM(Z16:Z96) - Z68</f>
        <v>105</v>
      </c>
      <c r="AA98" s="5">
        <f>SUM(AA16:AA96) - AA72</f>
        <v>84</v>
      </c>
      <c r="AB98" s="5">
        <f t="shared" si="0"/>
        <v>52</v>
      </c>
      <c r="AC98" s="5">
        <f>SUM(AC16:AC96) - AC80</f>
        <v>29</v>
      </c>
      <c r="AD98" s="5">
        <f>SUM(AD16:AD96) - AD85 - AD87</f>
        <v>14</v>
      </c>
      <c r="AE98" s="5">
        <f>SUM(AE16:AE96) - AE90 - AE94</f>
        <v>10</v>
      </c>
      <c r="AF98" s="5">
        <f t="shared" si="0"/>
        <v>0</v>
      </c>
    </row>
  </sheetData>
  <mergeCells count="184">
    <mergeCell ref="A1:B1"/>
    <mergeCell ref="A2:B2"/>
    <mergeCell ref="A3:B3"/>
    <mergeCell ref="A4:B4"/>
    <mergeCell ref="B6:E6"/>
    <mergeCell ref="B13:C13"/>
    <mergeCell ref="E30:F30"/>
    <mergeCell ref="C30:D30"/>
    <mergeCell ref="C18:D18"/>
    <mergeCell ref="E18:F18"/>
    <mergeCell ref="C19:D19"/>
    <mergeCell ref="E19:F19"/>
    <mergeCell ref="C20:D20"/>
    <mergeCell ref="E20:F20"/>
    <mergeCell ref="C15:D15"/>
    <mergeCell ref="E15:F15"/>
    <mergeCell ref="A16:A98"/>
    <mergeCell ref="E16:F16"/>
    <mergeCell ref="E17:F17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C32:D32"/>
    <mergeCell ref="E32:F32"/>
    <mergeCell ref="C33:D33"/>
    <mergeCell ref="E33:F33"/>
    <mergeCell ref="C34:D34"/>
    <mergeCell ref="E34:F34"/>
    <mergeCell ref="C28:D28"/>
    <mergeCell ref="E28:F28"/>
    <mergeCell ref="C29:D29"/>
    <mergeCell ref="E29:F29"/>
    <mergeCell ref="C31:D31"/>
    <mergeCell ref="E31:F31"/>
    <mergeCell ref="C35:D35"/>
    <mergeCell ref="E35:F35"/>
    <mergeCell ref="C37:D37"/>
    <mergeCell ref="E37:F37"/>
    <mergeCell ref="C38:D38"/>
    <mergeCell ref="E38:F38"/>
    <mergeCell ref="C39:D39"/>
    <mergeCell ref="E39:F39"/>
    <mergeCell ref="C41:D41"/>
    <mergeCell ref="C40:D40"/>
    <mergeCell ref="C54:D54"/>
    <mergeCell ref="E54:F54"/>
    <mergeCell ref="C55:D55"/>
    <mergeCell ref="E55:F55"/>
    <mergeCell ref="C56:D56"/>
    <mergeCell ref="E56:F56"/>
    <mergeCell ref="C58:D58"/>
    <mergeCell ref="E58:F58"/>
    <mergeCell ref="B48:B57"/>
    <mergeCell ref="C48:D48"/>
    <mergeCell ref="E48:F48"/>
    <mergeCell ref="C49:D49"/>
    <mergeCell ref="E49:F49"/>
    <mergeCell ref="C50:D50"/>
    <mergeCell ref="E50:F50"/>
    <mergeCell ref="C52:D52"/>
    <mergeCell ref="E51:F51"/>
    <mergeCell ref="C51:D51"/>
    <mergeCell ref="C53:D53"/>
    <mergeCell ref="E53:F53"/>
    <mergeCell ref="E52:F52"/>
    <mergeCell ref="C64:D64"/>
    <mergeCell ref="E64:F64"/>
    <mergeCell ref="C65:D65"/>
    <mergeCell ref="E65:F65"/>
    <mergeCell ref="C66:D66"/>
    <mergeCell ref="E66:F66"/>
    <mergeCell ref="C57:D57"/>
    <mergeCell ref="E57:F57"/>
    <mergeCell ref="E62:F62"/>
    <mergeCell ref="C67:D67"/>
    <mergeCell ref="C69:D69"/>
    <mergeCell ref="E69:F69"/>
    <mergeCell ref="C70:D70"/>
    <mergeCell ref="E70:F70"/>
    <mergeCell ref="C76:D76"/>
    <mergeCell ref="E76:F76"/>
    <mergeCell ref="C77:D77"/>
    <mergeCell ref="E67:F67"/>
    <mergeCell ref="E83:F83"/>
    <mergeCell ref="C89:D89"/>
    <mergeCell ref="E89:F89"/>
    <mergeCell ref="C91:D91"/>
    <mergeCell ref="E77:F77"/>
    <mergeCell ref="C78:D78"/>
    <mergeCell ref="E78:F78"/>
    <mergeCell ref="C79:D79"/>
    <mergeCell ref="E79:F79"/>
    <mergeCell ref="B97:D98"/>
    <mergeCell ref="E97:F97"/>
    <mergeCell ref="G97:H97"/>
    <mergeCell ref="E98:F98"/>
    <mergeCell ref="G98:H98"/>
    <mergeCell ref="B16:B17"/>
    <mergeCell ref="C17:D17"/>
    <mergeCell ref="C16:D16"/>
    <mergeCell ref="E91:F91"/>
    <mergeCell ref="C92:D92"/>
    <mergeCell ref="E92:F92"/>
    <mergeCell ref="C93:D93"/>
    <mergeCell ref="E93:F93"/>
    <mergeCell ref="B95:B96"/>
    <mergeCell ref="C95:D95"/>
    <mergeCell ref="E95:F95"/>
    <mergeCell ref="C96:D96"/>
    <mergeCell ref="E96:F96"/>
    <mergeCell ref="C81:D81"/>
    <mergeCell ref="E81:F81"/>
    <mergeCell ref="C82:D82"/>
    <mergeCell ref="E82:F82"/>
    <mergeCell ref="C83:D83"/>
    <mergeCell ref="E21:F21"/>
    <mergeCell ref="C21:D21"/>
    <mergeCell ref="B18:B36"/>
    <mergeCell ref="E36:F36"/>
    <mergeCell ref="C36:D36"/>
    <mergeCell ref="E88:F88"/>
    <mergeCell ref="E86:F86"/>
    <mergeCell ref="E84:F84"/>
    <mergeCell ref="C88:D88"/>
    <mergeCell ref="C86:D86"/>
    <mergeCell ref="C84:D84"/>
    <mergeCell ref="E71:F71"/>
    <mergeCell ref="E73:F73"/>
    <mergeCell ref="E74:F74"/>
    <mergeCell ref="E75:F75"/>
    <mergeCell ref="C75:D75"/>
    <mergeCell ref="C74:D74"/>
    <mergeCell ref="C73:D73"/>
    <mergeCell ref="C71:D71"/>
    <mergeCell ref="C59:D59"/>
    <mergeCell ref="E59:F59"/>
    <mergeCell ref="B37:B47"/>
    <mergeCell ref="E40:F40"/>
    <mergeCell ref="E43:F43"/>
    <mergeCell ref="C43:D43"/>
    <mergeCell ref="C47:D47"/>
    <mergeCell ref="E47:F47"/>
    <mergeCell ref="C46:D46"/>
    <mergeCell ref="E46:F46"/>
    <mergeCell ref="E41:F41"/>
    <mergeCell ref="C42:D42"/>
    <mergeCell ref="E42:F42"/>
    <mergeCell ref="C44:D44"/>
    <mergeCell ref="E44:F44"/>
    <mergeCell ref="C45:D45"/>
    <mergeCell ref="E45:F45"/>
    <mergeCell ref="C94:D94"/>
    <mergeCell ref="E90:F90"/>
    <mergeCell ref="C90:D90"/>
    <mergeCell ref="E87:F87"/>
    <mergeCell ref="C87:D87"/>
    <mergeCell ref="E85:F85"/>
    <mergeCell ref="C85:D85"/>
    <mergeCell ref="B58:B68"/>
    <mergeCell ref="E68:F68"/>
    <mergeCell ref="C68:D68"/>
    <mergeCell ref="B69:B80"/>
    <mergeCell ref="B81:B94"/>
    <mergeCell ref="E72:F72"/>
    <mergeCell ref="C72:D72"/>
    <mergeCell ref="E80:F80"/>
    <mergeCell ref="C80:D80"/>
    <mergeCell ref="E94:F94"/>
    <mergeCell ref="C60:D60"/>
    <mergeCell ref="C61:D61"/>
    <mergeCell ref="C63:D63"/>
    <mergeCell ref="E63:F63"/>
    <mergeCell ref="E61:F61"/>
    <mergeCell ref="E60:F60"/>
    <mergeCell ref="C62:D62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P5" sqref="P5"/>
    </sheetView>
  </sheetViews>
  <sheetFormatPr defaultRowHeight="14.4" x14ac:dyDescent="0.3"/>
  <cols>
    <col min="1" max="11" width="10.6640625" customWidth="1"/>
  </cols>
  <sheetData>
    <row r="1" spans="1:11" s="28" customFormat="1" ht="26.4" customHeight="1" x14ac:dyDescent="0.3">
      <c r="A1" s="83" t="s">
        <v>16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 s="28" customFormat="1" ht="19.2" customHeight="1" x14ac:dyDescent="0.3">
      <c r="A2" s="86"/>
      <c r="B2" s="87" t="s">
        <v>42</v>
      </c>
      <c r="C2" s="87"/>
      <c r="D2" s="87" t="s">
        <v>44</v>
      </c>
      <c r="E2" s="87"/>
      <c r="F2" s="87" t="s">
        <v>47</v>
      </c>
      <c r="G2" s="87"/>
      <c r="H2" s="87" t="s">
        <v>45</v>
      </c>
      <c r="I2" s="87"/>
      <c r="J2" s="87" t="s">
        <v>46</v>
      </c>
      <c r="K2" s="88"/>
    </row>
    <row r="3" spans="1:11" s="28" customFormat="1" ht="19.2" customHeight="1" x14ac:dyDescent="0.3">
      <c r="A3" s="86"/>
      <c r="B3" s="42" t="s">
        <v>10</v>
      </c>
      <c r="C3" s="42" t="s">
        <v>14</v>
      </c>
      <c r="D3" s="42" t="s">
        <v>10</v>
      </c>
      <c r="E3" s="42" t="s">
        <v>14</v>
      </c>
      <c r="F3" s="42" t="s">
        <v>10</v>
      </c>
      <c r="G3" s="42" t="s">
        <v>14</v>
      </c>
      <c r="H3" s="42" t="s">
        <v>10</v>
      </c>
      <c r="I3" s="42" t="s">
        <v>14</v>
      </c>
      <c r="J3" s="42" t="s">
        <v>10</v>
      </c>
      <c r="K3" s="43" t="s">
        <v>14</v>
      </c>
    </row>
    <row r="4" spans="1:11" s="28" customFormat="1" ht="19.2" customHeight="1" x14ac:dyDescent="0.3">
      <c r="A4" s="6" t="s">
        <v>4</v>
      </c>
      <c r="B4" s="27">
        <f ca="1">'Sprint 1'!$D$8</f>
        <v>82.5</v>
      </c>
      <c r="C4" s="27">
        <f ca="1">'Sprint 1'!$E$8</f>
        <v>76.833333333333329</v>
      </c>
      <c r="D4" s="27">
        <f ca="1">'Sprint 1'!$D$9</f>
        <v>78.5</v>
      </c>
      <c r="E4" s="27">
        <f ca="1">'Sprint 1'!$E$9</f>
        <v>76.666666666666657</v>
      </c>
      <c r="F4" s="27">
        <f ca="1">'Sprint 1'!$D$10</f>
        <v>89.333333333333329</v>
      </c>
      <c r="G4" s="27">
        <f ca="1">'Sprint 1'!$E$10</f>
        <v>88.166666666666657</v>
      </c>
      <c r="H4" s="27">
        <f ca="1">'Sprint 1'!$D$11</f>
        <v>75.166666666666657</v>
      </c>
      <c r="I4" s="27">
        <f ca="1">'Sprint 1'!$E$11</f>
        <v>72.499999999999986</v>
      </c>
      <c r="J4" s="27">
        <f ca="1">'Sprint 1'!$D$12</f>
        <v>86.499999999999986</v>
      </c>
      <c r="K4" s="27">
        <f ca="1">'Sprint 1'!$E$12</f>
        <v>85.833333333333314</v>
      </c>
    </row>
    <row r="5" spans="1:11" s="28" customFormat="1" ht="19.2" customHeight="1" x14ac:dyDescent="0.3">
      <c r="A5" s="6" t="s">
        <v>12</v>
      </c>
      <c r="B5" s="27">
        <f ca="1">'Sprint 2'!$D$8</f>
        <v>107.46666666666665</v>
      </c>
      <c r="C5" s="27">
        <f ca="1">'Sprint 2'!$E$8</f>
        <v>102.89999999999999</v>
      </c>
      <c r="D5" s="27">
        <f ca="1">'Sprint 2'!$D$9</f>
        <v>92.466666666666654</v>
      </c>
      <c r="E5" s="27">
        <f ca="1">'Sprint 2'!$E$9</f>
        <v>90.566666666666663</v>
      </c>
      <c r="F5" s="27">
        <f ca="1">'Sprint 2'!$D$10</f>
        <v>84.133333333333326</v>
      </c>
      <c r="G5" s="27">
        <f ca="1">'Sprint 2'!$E$10</f>
        <v>77.566666666666663</v>
      </c>
      <c r="H5" s="27">
        <f ca="1">'Sprint 2'!$D$11</f>
        <v>86.8</v>
      </c>
      <c r="I5" s="27">
        <f ca="1">'Sprint 2'!$E$11</f>
        <v>90.4</v>
      </c>
      <c r="J5" s="27">
        <f ca="1">'Sprint 2'!$D$12</f>
        <v>92.133333333333326</v>
      </c>
      <c r="K5" s="27">
        <f ca="1">'Sprint 2'!$E$12</f>
        <v>88.566666666666663</v>
      </c>
    </row>
    <row r="6" spans="1:11" s="28" customFormat="1" ht="19.2" customHeight="1" thickBot="1" x14ac:dyDescent="0.35">
      <c r="A6" s="7" t="s">
        <v>11</v>
      </c>
      <c r="B6" s="29">
        <f t="shared" ref="B6:K6" ca="1" si="0">SUM(B4:B5)</f>
        <v>189.96666666666664</v>
      </c>
      <c r="C6" s="29">
        <f t="shared" ca="1" si="0"/>
        <v>179.73333333333332</v>
      </c>
      <c r="D6" s="29">
        <f t="shared" ca="1" si="0"/>
        <v>170.96666666666664</v>
      </c>
      <c r="E6" s="29">
        <f t="shared" ca="1" si="0"/>
        <v>167.23333333333332</v>
      </c>
      <c r="F6" s="29">
        <f t="shared" ca="1" si="0"/>
        <v>173.46666666666664</v>
      </c>
      <c r="G6" s="29">
        <f t="shared" ca="1" si="0"/>
        <v>165.73333333333332</v>
      </c>
      <c r="H6" s="29">
        <f t="shared" ca="1" si="0"/>
        <v>161.96666666666664</v>
      </c>
      <c r="I6" s="29">
        <f t="shared" ca="1" si="0"/>
        <v>162.89999999999998</v>
      </c>
      <c r="J6" s="29">
        <f t="shared" ca="1" si="0"/>
        <v>178.63333333333333</v>
      </c>
      <c r="K6" s="29">
        <f t="shared" ca="1" si="0"/>
        <v>174.39999999999998</v>
      </c>
    </row>
    <row r="7" spans="1:11" s="28" customFormat="1" x14ac:dyDescent="0.3"/>
    <row r="8" spans="1:11" s="28" customFormat="1" ht="15" thickBot="1" x14ac:dyDescent="0.35"/>
    <row r="9" spans="1:11" s="28" customFormat="1" ht="19.2" customHeight="1" x14ac:dyDescent="0.3">
      <c r="E9" s="81" t="s">
        <v>17</v>
      </c>
      <c r="F9" s="82"/>
    </row>
    <row r="10" spans="1:11" s="28" customFormat="1" ht="19.2" customHeight="1" x14ac:dyDescent="0.3">
      <c r="E10" s="38" t="s">
        <v>10</v>
      </c>
      <c r="F10" s="39">
        <f ca="1">SUMIF($B$3:$K$3,"Thực tế",$B$6:$K$6)</f>
        <v>874.99999999999989</v>
      </c>
    </row>
    <row r="11" spans="1:11" s="28" customFormat="1" ht="19.2" customHeight="1" thickBot="1" x14ac:dyDescent="0.35">
      <c r="E11" s="40" t="s">
        <v>14</v>
      </c>
      <c r="F11" s="41">
        <f ca="1">SUMIF($B$3:$K$3,"Ước tính",$B$6:$K$6)</f>
        <v>849.99999999999989</v>
      </c>
    </row>
  </sheetData>
  <mergeCells count="8">
    <mergeCell ref="E9:F9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2021-04-23T08:05:10Z</dcterms:created>
  <dcterms:modified xsi:type="dcterms:W3CDTF">2026-05-12T14:56:06Z</dcterms:modified>
</cp:coreProperties>
</file>