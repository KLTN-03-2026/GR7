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D:\NamHoang\Workspace\ChuongTrinhHoc\1_DATN\New folder\New folder\"/>
    </mc:Choice>
  </mc:AlternateContent>
  <xr:revisionPtr revIDLastSave="0" documentId="13_ncr:1_{3C156535-3E9A-4C9C-8397-855C6AD71162}" xr6:coauthVersionLast="36" xr6:coauthVersionMax="36" xr10:uidLastSave="{00000000-0000-0000-0000-000000000000}"/>
  <bookViews>
    <workbookView xWindow="10296" yWindow="1440" windowWidth="11904" windowHeight="8880" activeTab="1" xr2:uid="{00000000-000D-0000-FFFF-FFFF00000000}"/>
  </bookViews>
  <sheets>
    <sheet name="TestReportSprint1" sheetId="1" r:id="rId1"/>
    <sheet name="TestReportSprint2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2" l="1"/>
  <c r="D10" i="2"/>
  <c r="D10" i="1"/>
  <c r="D15" i="1" s="1"/>
</calcChain>
</file>

<file path=xl/sharedStrings.xml><?xml version="1.0" encoding="utf-8"?>
<sst xmlns="http://schemas.openxmlformats.org/spreadsheetml/2006/main" count="122" uniqueCount="92">
  <si>
    <t>Functions</t>
  </si>
  <si>
    <t>Description</t>
  </si>
  <si>
    <t>%TC Executed</t>
  </si>
  <si>
    <t>%TC Passed</t>
  </si>
  <si>
    <t>TC Pending</t>
  </si>
  <si>
    <t>Priority</t>
  </si>
  <si>
    <t>Remark</t>
  </si>
  <si>
    <t>Test level:</t>
  </si>
  <si>
    <t>System test</t>
  </si>
  <si>
    <t>Executed</t>
  </si>
  <si>
    <t>Passed</t>
  </si>
  <si>
    <t>Failed</t>
  </si>
  <si>
    <t>Total test Executed</t>
  </si>
  <si>
    <t>Planned</t>
  </si>
  <si>
    <t>Pending</t>
  </si>
  <si>
    <t>Inprogress</t>
  </si>
  <si>
    <t>Blocked</t>
  </si>
  <si>
    <t>Total test Planned</t>
  </si>
  <si>
    <t>Sub Total (Planned+Executed)</t>
  </si>
  <si>
    <t>Bugs</t>
  </si>
  <si>
    <t>Status</t>
  </si>
  <si>
    <t>Severity</t>
  </si>
  <si>
    <t>Open</t>
  </si>
  <si>
    <t>Closed</t>
  </si>
  <si>
    <t>Responding</t>
  </si>
  <si>
    <t>Total</t>
  </si>
  <si>
    <t>Test Report Sprint 1</t>
  </si>
  <si>
    <t>Test Report Sprint 2</t>
  </si>
  <si>
    <t>Đăng nhập (Nhân viên &amp; Khách)</t>
  </si>
  <si>
    <t>Đăng ký tài khoản khách hàng</t>
  </si>
  <si>
    <t>Quản lý danh mục món ăn</t>
  </si>
  <si>
    <t>Quản lý món ăn</t>
  </si>
  <si>
    <t>Quản lý bàn</t>
  </si>
  <si>
    <t>Quét mã QR để truy cập menu</t>
  </si>
  <si>
    <t>Xem menu tại bàn</t>
  </si>
  <si>
    <t>Gọi món tại bàn</t>
  </si>
  <si>
    <t>Xem danh sách món đã gọi</t>
  </si>
  <si>
    <t>Khởi tạo đơn hàng cho bàn</t>
  </si>
  <si>
    <t>Chuyển đơn hàng tới bếp</t>
  </si>
  <si>
    <t>Xem danh sách món cần nấu</t>
  </si>
  <si>
    <t>Cập nhật trạng thái món ăn</t>
  </si>
  <si>
    <t>Thông báo món đã hoàn thành</t>
  </si>
  <si>
    <t>Cập nhật trạng thái phục vụ món</t>
  </si>
  <si>
    <t>Quản lý đơn hàng (Staff)</t>
  </si>
  <si>
    <t>Kiểm tra người dùng đăng nhập vào hệ thống</t>
  </si>
  <si>
    <t>Kiểm tra khách hàng đăng ký tài khoản mới</t>
  </si>
  <si>
    <t>Kiểm tra Admin quản lý danh mục món ăn (thêm, sửa, xóa)</t>
  </si>
  <si>
    <t>Kiểm tra Admin quản lý món ăn (thêm, sửa, xóa)</t>
  </si>
  <si>
    <t>Kiểm tra Admin quản lý bàn (thêm, sửa, xóa)</t>
  </si>
  <si>
    <t>Kiểm tra khách hàng quét mã QR để truy cập menu</t>
  </si>
  <si>
    <t>Kiểm tra khách hàng xem menu tại bàn</t>
  </si>
  <si>
    <t>Kiểm tra khách hàng gọi món tại bàn</t>
  </si>
  <si>
    <t>Kiểm tra khách hàng xem danh sách món đã gọi</t>
  </si>
  <si>
    <t>Kiểm tra khởi tạo đơn hàng cho bàn</t>
  </si>
  <si>
    <t>Kiểm tra chuyển đơn hàng tới bếp</t>
  </si>
  <si>
    <t>Kiểm tra đầu bếp xem danh sách món cần nấu</t>
  </si>
  <si>
    <t>Kiểm tra đầu bếp cập nhật trạng thái món ăn</t>
  </si>
  <si>
    <t>Kiểm tra thông báo món ăn đã hoàn thành</t>
  </si>
  <si>
    <t>Kiểm tra cập nhật trạng thái phục vụ món</t>
  </si>
  <si>
    <t>Kiểm tra nhân viên quản lý đơn hàng</t>
  </si>
  <si>
    <t>Thanh toán online (Stripe)</t>
  </si>
  <si>
    <t>Thanh toán hóa đơn (Tại quầy)</t>
  </si>
  <si>
    <t>AI Chatbot hỗ trợ (Gemini)</t>
  </si>
  <si>
    <t>Chat với nhân viên (Socket.io)</t>
  </si>
  <si>
    <t>Đặt bàn</t>
  </si>
  <si>
    <t>Quản lý danh sách đặt bàn</t>
  </si>
  <si>
    <t>Quên mật khẩu</t>
  </si>
  <si>
    <t>Đổi mật khẩu</t>
  </si>
  <si>
    <t>Đăng xuất</t>
  </si>
  <si>
    <t>Quản lý tài khoản cá nhân</t>
  </si>
  <si>
    <t>Quản lý tài khoản hệ thống</t>
  </si>
  <si>
    <t>Tìm kiếm món ăn</t>
  </si>
  <si>
    <t>Xem chi tiết món ăn</t>
  </si>
  <si>
    <t>Quản lý mã giảm giá</t>
  </si>
  <si>
    <t>Xem khuyến mãi</t>
  </si>
  <si>
    <t>Báo cáo thống kê</t>
  </si>
  <si>
    <t>Kiểm tra thanh toán online qua Stripe</t>
  </si>
  <si>
    <t>Kiểm tra thanh toán hóa đơn tại quầy</t>
  </si>
  <si>
    <t>Kiểm tra AI Chatbot hỗ trợ khách hàng</t>
  </si>
  <si>
    <t>Kiểm tra chat real-time với nhân viên</t>
  </si>
  <si>
    <t>Kiểm tra khách hàng đặt bàn trước</t>
  </si>
  <si>
    <t>Kiểm tra quản lý danh sách đặt bàn</t>
  </si>
  <si>
    <t>Kiểm tra khôi phục mật khẩu qua email</t>
  </si>
  <si>
    <t>Kiểm tra đổi mật khẩu</t>
  </si>
  <si>
    <t>Kiểm tra đăng xuất khỏi hệ thống</t>
  </si>
  <si>
    <t>Kiểm tra quản lý thông tin tài khoản cá nhân</t>
  </si>
  <si>
    <t>Kiểm tra Admin quản lý tài khoản hệ thống</t>
  </si>
  <si>
    <t>Kiểm tra tìm kiếm món ăn</t>
  </si>
  <si>
    <t>Kiểm tra xem chi tiết món ăn</t>
  </si>
  <si>
    <t>Kiểm tra Admin quản lý mã giảm giá</t>
  </si>
  <si>
    <t>Kiểm tra khách hàng xem khuyến mãi</t>
  </si>
  <si>
    <t>Kiểm tra báo cáo thống kê doanh 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</si>
</sst>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006100"/>
      <name val="Times New Roman"/>
      <family val="1"/>
    </font>
    <font>
      <sz val="13"/>
      <color rgb="FF9C0006"/>
      <name val="Times New Roman"/>
      <family val="1"/>
    </font>
    <font>
      <b/>
      <sz val="2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right" vertical="center" wrapText="1"/>
    </xf>
    <xf numFmtId="10" fontId="1" fillId="0" borderId="1" xfId="0" applyNumberFormat="1" applyFont="1" applyBorder="1" applyAlignment="1">
      <alignment horizontal="right"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/>
    <xf numFmtId="0" fontId="1" fillId="0" borderId="0" xfId="0" applyFont="1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A1008"/>
  <sheetViews>
    <sheetView zoomScale="70" zoomScaleNormal="70" workbookViewId="0">
      <selection activeCell="C38" sqref="C38"/>
    </sheetView>
  </sheetViews>
  <sheetFormatPr defaultColWidth="8.88671875" defaultRowHeight="16.8" x14ac:dyDescent="0.3"/>
  <cols>
    <col min="1" max="1" width="8.88671875" style="16"/>
    <col min="2" max="2" width="33.33203125" style="16" bestFit="1" customWidth="1"/>
    <col min="3" max="3" width="64.5546875" style="16" customWidth="1"/>
    <col min="4" max="4" width="19.21875" style="16" customWidth="1"/>
    <col min="5" max="6" width="16.5546875" style="16" customWidth="1"/>
    <col min="7" max="8" width="11.21875" style="16" customWidth="1"/>
    <col min="9" max="16384" width="8.88671875" style="16"/>
  </cols>
  <sheetData>
    <row r="3" spans="2:27" ht="17.399999999999999" thickBot="1" x14ac:dyDescent="0.35"/>
    <row r="4" spans="2:27" ht="40.950000000000003" customHeight="1" thickBot="1" x14ac:dyDescent="0.35">
      <c r="B4" s="19" t="s">
        <v>26</v>
      </c>
      <c r="C4" s="20"/>
      <c r="D4" s="20"/>
      <c r="E4" s="20"/>
      <c r="F4" s="20"/>
      <c r="G4" s="20"/>
      <c r="H4" s="21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spans="2:27" x14ac:dyDescent="0.3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spans="2:27" x14ac:dyDescent="0.3"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spans="2:27" s="14" customFormat="1" ht="20.399999999999999" customHeight="1" x14ac:dyDescent="0.3">
      <c r="B7" s="1" t="s">
        <v>7</v>
      </c>
      <c r="C7" s="18" t="s">
        <v>8</v>
      </c>
      <c r="D7" s="18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2:27" s="14" customFormat="1" ht="20.399999999999999" customHeight="1" x14ac:dyDescent="0.3">
      <c r="B8" s="2" t="s">
        <v>9</v>
      </c>
      <c r="C8" s="4" t="s">
        <v>10</v>
      </c>
      <c r="D8" s="5">
        <v>266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2:27" s="14" customFormat="1" ht="20.399999999999999" customHeight="1" x14ac:dyDescent="0.3">
      <c r="B9" s="2"/>
      <c r="C9" s="6" t="s">
        <v>11</v>
      </c>
      <c r="D9" s="7">
        <v>2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2:27" s="14" customFormat="1" ht="20.399999999999999" customHeight="1" x14ac:dyDescent="0.3">
      <c r="B10" s="2"/>
      <c r="C10" s="1" t="s">
        <v>12</v>
      </c>
      <c r="D10" s="8">
        <f>SUM(D8:D9)</f>
        <v>268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2:27" s="14" customFormat="1" ht="20.399999999999999" customHeight="1" x14ac:dyDescent="0.3">
      <c r="B11" s="2" t="s">
        <v>13</v>
      </c>
      <c r="C11" s="9" t="s">
        <v>14</v>
      </c>
      <c r="D11" s="10">
        <v>0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2:27" s="14" customFormat="1" ht="20.399999999999999" customHeight="1" x14ac:dyDescent="0.3">
      <c r="B12" s="2"/>
      <c r="C12" s="9" t="s">
        <v>15</v>
      </c>
      <c r="D12" s="10">
        <v>0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2:27" s="14" customFormat="1" ht="20.399999999999999" customHeight="1" x14ac:dyDescent="0.3">
      <c r="B13" s="2"/>
      <c r="C13" s="9" t="s">
        <v>16</v>
      </c>
      <c r="D13" s="10">
        <v>0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2:27" s="14" customFormat="1" ht="20.399999999999999" customHeight="1" x14ac:dyDescent="0.3">
      <c r="B14" s="2"/>
      <c r="C14" s="1" t="s">
        <v>17</v>
      </c>
      <c r="D14" s="8">
        <v>0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2:27" s="14" customFormat="1" ht="20.399999999999999" customHeight="1" x14ac:dyDescent="0.3">
      <c r="B15" s="2" t="s">
        <v>18</v>
      </c>
      <c r="C15" s="2"/>
      <c r="D15" s="8">
        <f>SUM(D10+D14)</f>
        <v>268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2:27" s="14" customFormat="1" ht="20.399999999999999" customHeight="1" x14ac:dyDescent="0.3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2:27" s="14" customFormat="1" ht="20.399999999999999" customHeight="1" x14ac:dyDescent="0.3">
      <c r="B17" s="11" t="s">
        <v>0</v>
      </c>
      <c r="C17" s="11" t="s">
        <v>1</v>
      </c>
      <c r="D17" s="11" t="s">
        <v>2</v>
      </c>
      <c r="E17" s="11" t="s">
        <v>3</v>
      </c>
      <c r="F17" s="11" t="s">
        <v>4</v>
      </c>
      <c r="G17" s="11" t="s">
        <v>5</v>
      </c>
      <c r="H17" s="11" t="s">
        <v>6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2:27" s="14" customFormat="1" ht="20.399999999999999" customHeight="1" x14ac:dyDescent="0.3">
      <c r="B18" s="3" t="s">
        <v>28</v>
      </c>
      <c r="C18" s="9" t="s">
        <v>44</v>
      </c>
      <c r="D18" s="12">
        <v>1</v>
      </c>
      <c r="E18" s="12">
        <v>1</v>
      </c>
      <c r="F18" s="10">
        <v>0</v>
      </c>
      <c r="G18" s="10">
        <v>1</v>
      </c>
      <c r="H18" s="9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spans="2:27" s="14" customFormat="1" ht="20.399999999999999" customHeight="1" x14ac:dyDescent="0.3">
      <c r="B19" s="3" t="s">
        <v>29</v>
      </c>
      <c r="C19" s="9" t="s">
        <v>45</v>
      </c>
      <c r="D19" s="12">
        <v>1</v>
      </c>
      <c r="E19" s="12">
        <v>1</v>
      </c>
      <c r="F19" s="10">
        <v>0</v>
      </c>
      <c r="G19" s="10">
        <v>1</v>
      </c>
      <c r="H19" s="9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2:27" s="14" customFormat="1" ht="20.399999999999999" customHeight="1" x14ac:dyDescent="0.3">
      <c r="B20" s="3" t="s">
        <v>30</v>
      </c>
      <c r="C20" s="9" t="s">
        <v>46</v>
      </c>
      <c r="D20" s="12">
        <v>1</v>
      </c>
      <c r="E20" s="12">
        <v>1</v>
      </c>
      <c r="F20" s="10">
        <v>0</v>
      </c>
      <c r="G20" s="10">
        <v>1</v>
      </c>
      <c r="H20" s="9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2:27" s="14" customFormat="1" ht="20.399999999999999" customHeight="1" x14ac:dyDescent="0.3">
      <c r="B21" s="3" t="s">
        <v>31</v>
      </c>
      <c r="C21" s="9" t="s">
        <v>47</v>
      </c>
      <c r="D21" s="12">
        <v>1</v>
      </c>
      <c r="E21" s="12">
        <v>1</v>
      </c>
      <c r="F21" s="10">
        <v>0</v>
      </c>
      <c r="G21" s="10">
        <v>1</v>
      </c>
      <c r="H21" s="9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2:27" s="14" customFormat="1" ht="20.399999999999999" customHeight="1" x14ac:dyDescent="0.3">
      <c r="B22" s="3" t="s">
        <v>32</v>
      </c>
      <c r="C22" s="9" t="s">
        <v>48</v>
      </c>
      <c r="D22" s="12">
        <v>1</v>
      </c>
      <c r="E22" s="12">
        <v>1</v>
      </c>
      <c r="F22" s="10">
        <v>0</v>
      </c>
      <c r="G22" s="10">
        <v>1</v>
      </c>
      <c r="H22" s="9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2:27" s="14" customFormat="1" ht="20.399999999999999" customHeight="1" x14ac:dyDescent="0.3">
      <c r="B23" s="3" t="s">
        <v>33</v>
      </c>
      <c r="C23" s="9" t="s">
        <v>49</v>
      </c>
      <c r="D23" s="12">
        <v>1</v>
      </c>
      <c r="E23" s="13">
        <v>0.90910000000000002</v>
      </c>
      <c r="F23" s="10">
        <v>0</v>
      </c>
      <c r="G23" s="10">
        <v>1</v>
      </c>
      <c r="H23" s="9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2:27" s="14" customFormat="1" ht="20.399999999999999" customHeight="1" x14ac:dyDescent="0.3">
      <c r="B24" s="3" t="s">
        <v>34</v>
      </c>
      <c r="C24" s="9" t="s">
        <v>50</v>
      </c>
      <c r="D24" s="12">
        <v>1</v>
      </c>
      <c r="E24" s="12">
        <v>1</v>
      </c>
      <c r="F24" s="10">
        <v>0</v>
      </c>
      <c r="G24" s="10">
        <v>1</v>
      </c>
      <c r="H24" s="9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2:27" s="14" customFormat="1" ht="20.399999999999999" customHeight="1" x14ac:dyDescent="0.3">
      <c r="B25" s="3" t="s">
        <v>35</v>
      </c>
      <c r="C25" s="9" t="s">
        <v>51</v>
      </c>
      <c r="D25" s="12">
        <v>1</v>
      </c>
      <c r="E25" s="12">
        <v>1</v>
      </c>
      <c r="F25" s="10">
        <v>0</v>
      </c>
      <c r="G25" s="10">
        <v>1</v>
      </c>
      <c r="H25" s="9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2:27" s="14" customFormat="1" ht="20.399999999999999" customHeight="1" x14ac:dyDescent="0.3">
      <c r="B26" s="3" t="s">
        <v>36</v>
      </c>
      <c r="C26" s="9" t="s">
        <v>52</v>
      </c>
      <c r="D26" s="12">
        <v>1</v>
      </c>
      <c r="E26" s="12">
        <v>1</v>
      </c>
      <c r="F26" s="10">
        <v>0</v>
      </c>
      <c r="G26" s="10">
        <v>1</v>
      </c>
      <c r="H26" s="9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2:27" s="14" customFormat="1" ht="20.399999999999999" customHeight="1" x14ac:dyDescent="0.3">
      <c r="B27" s="3" t="s">
        <v>37</v>
      </c>
      <c r="C27" s="9" t="s">
        <v>53</v>
      </c>
      <c r="D27" s="12">
        <v>1</v>
      </c>
      <c r="E27" s="12">
        <v>1</v>
      </c>
      <c r="F27" s="10">
        <v>0</v>
      </c>
      <c r="G27" s="10">
        <v>1</v>
      </c>
      <c r="H27" s="9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2:27" s="14" customFormat="1" ht="20.399999999999999" customHeight="1" x14ac:dyDescent="0.3">
      <c r="B28" s="3" t="s">
        <v>38</v>
      </c>
      <c r="C28" s="9" t="s">
        <v>54</v>
      </c>
      <c r="D28" s="12">
        <v>1</v>
      </c>
      <c r="E28" s="12">
        <v>1</v>
      </c>
      <c r="F28" s="10">
        <v>0</v>
      </c>
      <c r="G28" s="10">
        <v>1</v>
      </c>
      <c r="H28" s="9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2:27" s="14" customFormat="1" ht="20.399999999999999" customHeight="1" x14ac:dyDescent="0.3">
      <c r="B29" s="3" t="s">
        <v>39</v>
      </c>
      <c r="C29" s="9" t="s">
        <v>55</v>
      </c>
      <c r="D29" s="12">
        <v>1</v>
      </c>
      <c r="E29" s="12">
        <v>1</v>
      </c>
      <c r="F29" s="10">
        <v>0</v>
      </c>
      <c r="G29" s="10">
        <v>1</v>
      </c>
      <c r="H29" s="9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2:27" s="14" customFormat="1" ht="20.399999999999999" customHeight="1" x14ac:dyDescent="0.3">
      <c r="B30" s="3" t="s">
        <v>40</v>
      </c>
      <c r="C30" s="9" t="s">
        <v>56</v>
      </c>
      <c r="D30" s="12">
        <v>1</v>
      </c>
      <c r="E30" s="12">
        <v>1</v>
      </c>
      <c r="F30" s="10">
        <v>0</v>
      </c>
      <c r="G30" s="10">
        <v>1</v>
      </c>
      <c r="H30" s="9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2:27" s="14" customFormat="1" ht="20.399999999999999" customHeight="1" x14ac:dyDescent="0.3">
      <c r="B31" s="3" t="s">
        <v>41</v>
      </c>
      <c r="C31" s="9" t="s">
        <v>57</v>
      </c>
      <c r="D31" s="12">
        <v>1</v>
      </c>
      <c r="E31" s="12">
        <v>1</v>
      </c>
      <c r="F31" s="10">
        <v>0</v>
      </c>
      <c r="G31" s="10">
        <v>1</v>
      </c>
      <c r="H31" s="9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2:27" s="14" customFormat="1" ht="20.399999999999999" customHeight="1" x14ac:dyDescent="0.3">
      <c r="B32" s="3" t="s">
        <v>42</v>
      </c>
      <c r="C32" s="9" t="s">
        <v>58</v>
      </c>
      <c r="D32" s="12">
        <v>1</v>
      </c>
      <c r="E32" s="12">
        <v>1</v>
      </c>
      <c r="F32" s="10">
        <v>0</v>
      </c>
      <c r="G32" s="10">
        <v>2</v>
      </c>
      <c r="H32" s="9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2:27" s="14" customFormat="1" ht="20.399999999999999" customHeight="1" x14ac:dyDescent="0.3">
      <c r="B33" s="3" t="s">
        <v>43</v>
      </c>
      <c r="C33" s="9" t="s">
        <v>59</v>
      </c>
      <c r="D33" s="12">
        <v>1</v>
      </c>
      <c r="E33" s="12">
        <v>1</v>
      </c>
      <c r="F33" s="10">
        <v>0</v>
      </c>
      <c r="G33" s="10">
        <v>2</v>
      </c>
      <c r="H33" s="9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2:27" s="14" customFormat="1" ht="20.399999999999999" customHeight="1" x14ac:dyDescent="0.3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2:27" s="14" customFormat="1" ht="20.399999999999999" customHeight="1" x14ac:dyDescent="0.3">
      <c r="B35" s="11" t="s">
        <v>19</v>
      </c>
      <c r="C35" s="11" t="s">
        <v>1</v>
      </c>
      <c r="D35" s="11" t="s">
        <v>20</v>
      </c>
      <c r="E35" s="11" t="s">
        <v>21</v>
      </c>
      <c r="F35" s="11" t="s">
        <v>5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2:27" s="14" customFormat="1" ht="20.399999999999999" customHeight="1" x14ac:dyDescent="0.3">
      <c r="B36" s="2" t="s">
        <v>25</v>
      </c>
      <c r="C36" s="1" t="s">
        <v>22</v>
      </c>
      <c r="D36" s="10">
        <v>2</v>
      </c>
      <c r="E36" s="9"/>
      <c r="F36" s="9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2:27" s="14" customFormat="1" ht="20.399999999999999" customHeight="1" x14ac:dyDescent="0.3">
      <c r="B37" s="2"/>
      <c r="C37" s="1" t="s">
        <v>23</v>
      </c>
      <c r="D37" s="10">
        <v>0</v>
      </c>
      <c r="E37" s="9"/>
      <c r="F37" s="9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2:27" s="14" customFormat="1" ht="20.399999999999999" customHeight="1" x14ac:dyDescent="0.3">
      <c r="B38" s="2"/>
      <c r="C38" s="1" t="s">
        <v>24</v>
      </c>
      <c r="D38" s="10">
        <v>2</v>
      </c>
      <c r="E38" s="9"/>
      <c r="F38" s="9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2:27" x14ac:dyDescent="0.3"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spans="2:27" x14ac:dyDescent="0.3"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spans="2:27" x14ac:dyDescent="0.3"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spans="2:27" ht="16.95" customHeight="1" x14ac:dyDescent="0.3"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spans="2:27" x14ac:dyDescent="0.3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spans="2:27" x14ac:dyDescent="0.3"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x14ac:dyDescent="0.3"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spans="2:27" x14ac:dyDescent="0.3"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spans="2:27" x14ac:dyDescent="0.3"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x14ac:dyDescent="0.3"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spans="2:27" x14ac:dyDescent="0.3"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spans="2:27" x14ac:dyDescent="0.3"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x14ac:dyDescent="0.3"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spans="2:27" x14ac:dyDescent="0.3"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spans="2:27" x14ac:dyDescent="0.3"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x14ac:dyDescent="0.3"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spans="2:27" x14ac:dyDescent="0.3"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spans="2:27" x14ac:dyDescent="0.3"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spans="2:27" x14ac:dyDescent="0.3"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spans="2:27" x14ac:dyDescent="0.3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spans="2:27" x14ac:dyDescent="0.3"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spans="2:27" x14ac:dyDescent="0.3"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spans="2:27" x14ac:dyDescent="0.3"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spans="2:27" x14ac:dyDescent="0.3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spans="2:27" x14ac:dyDescent="0.3"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spans="2:27" x14ac:dyDescent="0.3"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spans="2:27" x14ac:dyDescent="0.3"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spans="2:27" x14ac:dyDescent="0.3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spans="2:27" x14ac:dyDescent="0.3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spans="2:27" x14ac:dyDescent="0.3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2:27" x14ac:dyDescent="0.3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2:27" x14ac:dyDescent="0.3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2:27" x14ac:dyDescent="0.3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spans="2:27" x14ac:dyDescent="0.3"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spans="2:27" x14ac:dyDescent="0.3"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spans="2:27" x14ac:dyDescent="0.3"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spans="2:27" x14ac:dyDescent="0.3"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spans="2:27" x14ac:dyDescent="0.3"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spans="2:27" x14ac:dyDescent="0.3"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spans="2:27" x14ac:dyDescent="0.3"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spans="2:27" x14ac:dyDescent="0.3"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spans="2:27" x14ac:dyDescent="0.3"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spans="2:27" x14ac:dyDescent="0.3"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spans="2:27" x14ac:dyDescent="0.3"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spans="2:27" x14ac:dyDescent="0.3"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spans="2:27" x14ac:dyDescent="0.3"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spans="2:27" x14ac:dyDescent="0.3"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spans="2:27" x14ac:dyDescent="0.3"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spans="2:27" x14ac:dyDescent="0.3"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spans="2:27" x14ac:dyDescent="0.3"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spans="2:27" x14ac:dyDescent="0.3"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spans="2:27" x14ac:dyDescent="0.3"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spans="2:27" x14ac:dyDescent="0.3"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spans="2:27" x14ac:dyDescent="0.3"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spans="2:27" x14ac:dyDescent="0.3"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spans="2:27" x14ac:dyDescent="0.3"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spans="2:27" x14ac:dyDescent="0.3"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spans="2:27" x14ac:dyDescent="0.3"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spans="2:27" x14ac:dyDescent="0.3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spans="2:27" x14ac:dyDescent="0.3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spans="2:27" x14ac:dyDescent="0.3"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spans="2:27" x14ac:dyDescent="0.3"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spans="2:27" x14ac:dyDescent="0.3"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spans="2:27" x14ac:dyDescent="0.3"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spans="2:27" x14ac:dyDescent="0.3"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spans="2:27" x14ac:dyDescent="0.3"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spans="2:27" x14ac:dyDescent="0.3"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spans="2:27" x14ac:dyDescent="0.3"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spans="2:27" x14ac:dyDescent="0.3"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spans="2:27" x14ac:dyDescent="0.3"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spans="2:27" x14ac:dyDescent="0.3"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spans="2:27" x14ac:dyDescent="0.3"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spans="2:27" x14ac:dyDescent="0.3"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spans="2:27" x14ac:dyDescent="0.3"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spans="2:27" x14ac:dyDescent="0.3"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spans="2:27" x14ac:dyDescent="0.3"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spans="2:27" x14ac:dyDescent="0.3"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spans="2:27" x14ac:dyDescent="0.3"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spans="2:27" x14ac:dyDescent="0.3"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spans="2:27" x14ac:dyDescent="0.3"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spans="2:27" x14ac:dyDescent="0.3"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spans="2:27" x14ac:dyDescent="0.3"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spans="2:27" x14ac:dyDescent="0.3"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spans="2:27" x14ac:dyDescent="0.3"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spans="2:27" x14ac:dyDescent="0.3"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spans="2:27" x14ac:dyDescent="0.3"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spans="2:27" x14ac:dyDescent="0.3"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spans="2:27" x14ac:dyDescent="0.3"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spans="2:27" x14ac:dyDescent="0.3"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spans="2:27" x14ac:dyDescent="0.3"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spans="2:27" x14ac:dyDescent="0.3"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spans="2:27" x14ac:dyDescent="0.3"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spans="2:27" x14ac:dyDescent="0.3"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spans="2:27" x14ac:dyDescent="0.3"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spans="2:27" x14ac:dyDescent="0.3"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spans="2:27" x14ac:dyDescent="0.3"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spans="2:27" x14ac:dyDescent="0.3"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spans="2:27" x14ac:dyDescent="0.3"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spans="2:27" x14ac:dyDescent="0.3"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spans="2:27" x14ac:dyDescent="0.3"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spans="2:27" x14ac:dyDescent="0.3"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spans="2:27" x14ac:dyDescent="0.3"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spans="2:27" x14ac:dyDescent="0.3"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spans="2:27" x14ac:dyDescent="0.3"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spans="2:27" x14ac:dyDescent="0.3"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spans="2:27" x14ac:dyDescent="0.3"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spans="2:27" x14ac:dyDescent="0.3"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spans="2:27" x14ac:dyDescent="0.3"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spans="2:27" x14ac:dyDescent="0.3"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spans="2:27" x14ac:dyDescent="0.3"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spans="2:27" x14ac:dyDescent="0.3"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spans="2:27" x14ac:dyDescent="0.3"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spans="2:27" x14ac:dyDescent="0.3"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spans="2:27" x14ac:dyDescent="0.3"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spans="2:27" x14ac:dyDescent="0.3"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spans="2:27" x14ac:dyDescent="0.3"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spans="2:27" x14ac:dyDescent="0.3"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spans="2:27" x14ac:dyDescent="0.3"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spans="2:27" x14ac:dyDescent="0.3"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spans="2:27" x14ac:dyDescent="0.3"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spans="2:27" x14ac:dyDescent="0.3"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spans="2:27" x14ac:dyDescent="0.3"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spans="2:27" x14ac:dyDescent="0.3"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spans="2:27" x14ac:dyDescent="0.3"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spans="2:27" x14ac:dyDescent="0.3"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spans="2:27" x14ac:dyDescent="0.3"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spans="2:27" x14ac:dyDescent="0.3"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spans="2:27" x14ac:dyDescent="0.3"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spans="2:27" x14ac:dyDescent="0.3"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spans="2:27" x14ac:dyDescent="0.3"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spans="2:27" x14ac:dyDescent="0.3"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spans="2:27" x14ac:dyDescent="0.3"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spans="2:27" x14ac:dyDescent="0.3"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spans="2:27" x14ac:dyDescent="0.3"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spans="2:27" x14ac:dyDescent="0.3"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spans="2:27" x14ac:dyDescent="0.3"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spans="2:27" x14ac:dyDescent="0.3"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spans="2:27" x14ac:dyDescent="0.3"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spans="2:27" x14ac:dyDescent="0.3"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spans="2:27" x14ac:dyDescent="0.3"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spans="2:27" x14ac:dyDescent="0.3"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spans="2:27" x14ac:dyDescent="0.3"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spans="2:27" x14ac:dyDescent="0.3"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spans="2:27" x14ac:dyDescent="0.3"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spans="2:27" x14ac:dyDescent="0.3"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spans="2:27" x14ac:dyDescent="0.3"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spans="2:27" x14ac:dyDescent="0.3"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spans="2:27" x14ac:dyDescent="0.3"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spans="2:27" x14ac:dyDescent="0.3"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spans="2:27" x14ac:dyDescent="0.3"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spans="2:27" x14ac:dyDescent="0.3"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spans="2:27" x14ac:dyDescent="0.3"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spans="2:27" x14ac:dyDescent="0.3"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spans="2:27" x14ac:dyDescent="0.3"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spans="2:27" x14ac:dyDescent="0.3"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spans="2:27" x14ac:dyDescent="0.3"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spans="2:27" x14ac:dyDescent="0.3"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spans="2:27" x14ac:dyDescent="0.3"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spans="2:27" x14ac:dyDescent="0.3"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spans="2:27" x14ac:dyDescent="0.3"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spans="2:27" x14ac:dyDescent="0.3"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spans="2:27" x14ac:dyDescent="0.3"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spans="2:27" x14ac:dyDescent="0.3"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spans="2:27" x14ac:dyDescent="0.3"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spans="2:27" x14ac:dyDescent="0.3"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spans="2:27" x14ac:dyDescent="0.3"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spans="2:27" x14ac:dyDescent="0.3"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spans="2:27" x14ac:dyDescent="0.3"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spans="2:27" x14ac:dyDescent="0.3"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spans="2:27" x14ac:dyDescent="0.3"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spans="2:27" x14ac:dyDescent="0.3"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spans="2:27" x14ac:dyDescent="0.3"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spans="2:27" x14ac:dyDescent="0.3"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spans="2:27" x14ac:dyDescent="0.3"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spans="2:27" x14ac:dyDescent="0.3"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spans="2:27" x14ac:dyDescent="0.3"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spans="2:27" x14ac:dyDescent="0.3"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spans="2:27" x14ac:dyDescent="0.3"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spans="2:27" x14ac:dyDescent="0.3"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spans="2:27" x14ac:dyDescent="0.3"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spans="2:27" x14ac:dyDescent="0.3"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spans="2:27" x14ac:dyDescent="0.3"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spans="2:27" x14ac:dyDescent="0.3"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spans="2:27" x14ac:dyDescent="0.3"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spans="2:27" x14ac:dyDescent="0.3"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spans="2:27" x14ac:dyDescent="0.3"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spans="2:27" x14ac:dyDescent="0.3"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spans="2:27" x14ac:dyDescent="0.3"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spans="2:27" x14ac:dyDescent="0.3"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spans="2:27" x14ac:dyDescent="0.3"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spans="2:27" x14ac:dyDescent="0.3"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spans="2:27" x14ac:dyDescent="0.3"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spans="2:27" x14ac:dyDescent="0.3"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spans="2:27" x14ac:dyDescent="0.3"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spans="2:27" x14ac:dyDescent="0.3"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spans="2:27" x14ac:dyDescent="0.3"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spans="2:27" x14ac:dyDescent="0.3"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spans="2:27" x14ac:dyDescent="0.3"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spans="2:27" x14ac:dyDescent="0.3"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spans="2:27" x14ac:dyDescent="0.3"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spans="2:27" x14ac:dyDescent="0.3"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spans="2:27" x14ac:dyDescent="0.3"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spans="2:27" x14ac:dyDescent="0.3"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spans="2:27" x14ac:dyDescent="0.3"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spans="2:27" x14ac:dyDescent="0.3"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spans="2:27" x14ac:dyDescent="0.3"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spans="2:27" x14ac:dyDescent="0.3"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spans="2:27" x14ac:dyDescent="0.3"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spans="2:27" x14ac:dyDescent="0.3"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spans="2:27" x14ac:dyDescent="0.3"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spans="2:27" x14ac:dyDescent="0.3"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spans="2:27" x14ac:dyDescent="0.3"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spans="2:27" x14ac:dyDescent="0.3"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spans="2:27" x14ac:dyDescent="0.3"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spans="2:27" x14ac:dyDescent="0.3"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spans="2:27" x14ac:dyDescent="0.3"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spans="2:27" x14ac:dyDescent="0.3"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spans="2:27" x14ac:dyDescent="0.3"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spans="2:27" x14ac:dyDescent="0.3"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spans="2:27" x14ac:dyDescent="0.3"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spans="2:27" x14ac:dyDescent="0.3"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spans="2:27" x14ac:dyDescent="0.3"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spans="2:27" x14ac:dyDescent="0.3"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spans="2:27" x14ac:dyDescent="0.3"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spans="2:27" x14ac:dyDescent="0.3"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spans="2:27" x14ac:dyDescent="0.3"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spans="2:27" x14ac:dyDescent="0.3"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spans="2:27" x14ac:dyDescent="0.3"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spans="2:27" x14ac:dyDescent="0.3"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spans="2:27" x14ac:dyDescent="0.3"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spans="2:27" x14ac:dyDescent="0.3"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spans="2:27" x14ac:dyDescent="0.3"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spans="2:27" x14ac:dyDescent="0.3"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spans="2:27" x14ac:dyDescent="0.3"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spans="2:27" x14ac:dyDescent="0.3"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spans="2:27" x14ac:dyDescent="0.3"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spans="2:27" x14ac:dyDescent="0.3"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spans="2:27" x14ac:dyDescent="0.3"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spans="2:27" x14ac:dyDescent="0.3"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spans="2:27" x14ac:dyDescent="0.3"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spans="2:27" x14ac:dyDescent="0.3"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spans="2:27" x14ac:dyDescent="0.3"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spans="2:27" x14ac:dyDescent="0.3"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spans="2:27" x14ac:dyDescent="0.3"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spans="2:27" x14ac:dyDescent="0.3"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spans="2:27" x14ac:dyDescent="0.3"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spans="2:27" x14ac:dyDescent="0.3"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spans="2:27" x14ac:dyDescent="0.3"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spans="2:27" x14ac:dyDescent="0.3"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spans="2:27" x14ac:dyDescent="0.3"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spans="2:27" x14ac:dyDescent="0.3"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spans="2:27" x14ac:dyDescent="0.3"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spans="2:27" x14ac:dyDescent="0.3"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spans="2:27" x14ac:dyDescent="0.3"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spans="2:27" x14ac:dyDescent="0.3"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spans="2:27" x14ac:dyDescent="0.3"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spans="2:27" x14ac:dyDescent="0.3"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spans="2:27" x14ac:dyDescent="0.3"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spans="2:27" x14ac:dyDescent="0.3"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spans="2:27" x14ac:dyDescent="0.3"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spans="2:27" x14ac:dyDescent="0.3"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spans="2:27" x14ac:dyDescent="0.3"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spans="2:27" x14ac:dyDescent="0.3"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spans="2:27" x14ac:dyDescent="0.3"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spans="2:27" x14ac:dyDescent="0.3"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spans="2:27" x14ac:dyDescent="0.3"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spans="2:27" x14ac:dyDescent="0.3"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spans="2:27" x14ac:dyDescent="0.3"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spans="2:27" x14ac:dyDescent="0.3"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spans="2:27" x14ac:dyDescent="0.3"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spans="2:27" x14ac:dyDescent="0.3"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spans="2:27" x14ac:dyDescent="0.3"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spans="2:27" x14ac:dyDescent="0.3"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spans="2:27" x14ac:dyDescent="0.3"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spans="2:27" x14ac:dyDescent="0.3"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spans="2:27" x14ac:dyDescent="0.3"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spans="2:27" x14ac:dyDescent="0.3"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spans="2:27" x14ac:dyDescent="0.3"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spans="2:27" x14ac:dyDescent="0.3"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spans="2:27" x14ac:dyDescent="0.3"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spans="2:27" x14ac:dyDescent="0.3"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spans="2:27" x14ac:dyDescent="0.3"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spans="2:27" x14ac:dyDescent="0.3"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spans="2:27" x14ac:dyDescent="0.3"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spans="2:27" x14ac:dyDescent="0.3"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spans="2:27" x14ac:dyDescent="0.3"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spans="2:27" x14ac:dyDescent="0.3"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spans="2:27" x14ac:dyDescent="0.3"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spans="2:27" x14ac:dyDescent="0.3"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spans="2:27" x14ac:dyDescent="0.3"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spans="2:27" x14ac:dyDescent="0.3"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spans="2:27" x14ac:dyDescent="0.3"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spans="2:27" x14ac:dyDescent="0.3"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spans="2:27" x14ac:dyDescent="0.3"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spans="2:27" x14ac:dyDescent="0.3"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spans="2:27" x14ac:dyDescent="0.3"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spans="2:27" x14ac:dyDescent="0.3"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spans="2:27" x14ac:dyDescent="0.3"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spans="2:27" x14ac:dyDescent="0.3"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spans="2:27" x14ac:dyDescent="0.3"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spans="2:27" x14ac:dyDescent="0.3"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spans="2:27" x14ac:dyDescent="0.3"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spans="2:27" x14ac:dyDescent="0.3"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spans="2:27" x14ac:dyDescent="0.3"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spans="2:27" x14ac:dyDescent="0.3"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spans="2:27" x14ac:dyDescent="0.3"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spans="2:27" x14ac:dyDescent="0.3"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spans="2:27" x14ac:dyDescent="0.3"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spans="2:27" x14ac:dyDescent="0.3"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spans="2:27" x14ac:dyDescent="0.3"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spans="2:27" x14ac:dyDescent="0.3"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spans="2:27" x14ac:dyDescent="0.3"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spans="2:27" x14ac:dyDescent="0.3"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spans="2:27" x14ac:dyDescent="0.3"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spans="2:27" x14ac:dyDescent="0.3"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spans="2:27" x14ac:dyDescent="0.3"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spans="2:27" x14ac:dyDescent="0.3"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spans="2:27" x14ac:dyDescent="0.3"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spans="2:27" x14ac:dyDescent="0.3"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spans="2:27" x14ac:dyDescent="0.3"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spans="2:27" x14ac:dyDescent="0.3"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spans="2:27" x14ac:dyDescent="0.3"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spans="2:27" x14ac:dyDescent="0.3"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spans="2:27" x14ac:dyDescent="0.3"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spans="2:27" x14ac:dyDescent="0.3"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spans="2:27" x14ac:dyDescent="0.3"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spans="2:27" x14ac:dyDescent="0.3"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spans="2:27" x14ac:dyDescent="0.3"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spans="2:27" x14ac:dyDescent="0.3"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spans="2:27" x14ac:dyDescent="0.3"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spans="2:27" x14ac:dyDescent="0.3"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spans="2:27" x14ac:dyDescent="0.3"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spans="2:27" x14ac:dyDescent="0.3"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spans="2:27" x14ac:dyDescent="0.3"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spans="2:27" x14ac:dyDescent="0.3"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spans="2:27" x14ac:dyDescent="0.3"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spans="2:27" x14ac:dyDescent="0.3"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spans="2:27" x14ac:dyDescent="0.3"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spans="2:27" x14ac:dyDescent="0.3"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spans="2:27" x14ac:dyDescent="0.3"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spans="2:27" x14ac:dyDescent="0.3"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spans="2:27" x14ac:dyDescent="0.3"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spans="2:27" x14ac:dyDescent="0.3"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spans="2:27" x14ac:dyDescent="0.3"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spans="2:27" x14ac:dyDescent="0.3"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spans="2:27" x14ac:dyDescent="0.3"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spans="2:27" x14ac:dyDescent="0.3"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spans="2:27" x14ac:dyDescent="0.3"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spans="2:27" x14ac:dyDescent="0.3"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spans="2:27" x14ac:dyDescent="0.3"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spans="2:27" x14ac:dyDescent="0.3"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spans="2:27" x14ac:dyDescent="0.3"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spans="2:27" x14ac:dyDescent="0.3"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spans="2:27" x14ac:dyDescent="0.3"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spans="2:27" x14ac:dyDescent="0.3"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spans="2:27" x14ac:dyDescent="0.3"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spans="2:27" x14ac:dyDescent="0.3"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spans="2:27" x14ac:dyDescent="0.3"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spans="2:27" x14ac:dyDescent="0.3"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spans="2:27" x14ac:dyDescent="0.3"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spans="2:27" x14ac:dyDescent="0.3"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spans="2:27" x14ac:dyDescent="0.3"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spans="2:27" x14ac:dyDescent="0.3"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spans="2:27" x14ac:dyDescent="0.3"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spans="2:27" x14ac:dyDescent="0.3"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spans="2:27" x14ac:dyDescent="0.3"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spans="2:27" x14ac:dyDescent="0.3"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spans="2:27" x14ac:dyDescent="0.3"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spans="2:27" x14ac:dyDescent="0.3"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spans="2:27" x14ac:dyDescent="0.3"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spans="2:27" x14ac:dyDescent="0.3"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spans="2:27" x14ac:dyDescent="0.3"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spans="2:27" x14ac:dyDescent="0.3"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spans="2:27" x14ac:dyDescent="0.3"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spans="2:27" x14ac:dyDescent="0.3"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 spans="2:27" x14ac:dyDescent="0.3"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</row>
    <row r="415" spans="2:27" x14ac:dyDescent="0.3"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 spans="2:27" x14ac:dyDescent="0.3"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 spans="2:27" x14ac:dyDescent="0.3"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</row>
    <row r="418" spans="2:27" x14ac:dyDescent="0.3"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</row>
    <row r="419" spans="2:27" x14ac:dyDescent="0.3"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</row>
    <row r="420" spans="2:27" x14ac:dyDescent="0.3"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</row>
    <row r="421" spans="2:27" x14ac:dyDescent="0.3"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</row>
    <row r="422" spans="2:27" x14ac:dyDescent="0.3"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</row>
    <row r="423" spans="2:27" x14ac:dyDescent="0.3"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 spans="2:27" x14ac:dyDescent="0.3"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 spans="2:27" x14ac:dyDescent="0.3"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</row>
    <row r="426" spans="2:27" x14ac:dyDescent="0.3"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 spans="2:27" x14ac:dyDescent="0.3"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</row>
    <row r="428" spans="2:27" x14ac:dyDescent="0.3"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</row>
    <row r="429" spans="2:27" x14ac:dyDescent="0.3"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</row>
    <row r="430" spans="2:27" x14ac:dyDescent="0.3"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</row>
    <row r="431" spans="2:27" x14ac:dyDescent="0.3"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</row>
    <row r="432" spans="2:27" x14ac:dyDescent="0.3"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</row>
    <row r="433" spans="2:27" x14ac:dyDescent="0.3"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</row>
    <row r="434" spans="2:27" x14ac:dyDescent="0.3"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</row>
    <row r="435" spans="2:27" x14ac:dyDescent="0.3"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</row>
    <row r="436" spans="2:27" x14ac:dyDescent="0.3"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</row>
    <row r="437" spans="2:27" x14ac:dyDescent="0.3"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</row>
    <row r="438" spans="2:27" x14ac:dyDescent="0.3"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</row>
    <row r="439" spans="2:27" x14ac:dyDescent="0.3"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</row>
    <row r="440" spans="2:27" x14ac:dyDescent="0.3"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</row>
    <row r="441" spans="2:27" x14ac:dyDescent="0.3"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</row>
    <row r="442" spans="2:27" x14ac:dyDescent="0.3"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</row>
    <row r="443" spans="2:27" x14ac:dyDescent="0.3"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</row>
    <row r="444" spans="2:27" x14ac:dyDescent="0.3"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</row>
    <row r="445" spans="2:27" x14ac:dyDescent="0.3"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</row>
    <row r="446" spans="2:27" x14ac:dyDescent="0.3"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</row>
    <row r="447" spans="2:27" x14ac:dyDescent="0.3"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</row>
    <row r="448" spans="2:27" x14ac:dyDescent="0.3"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</row>
    <row r="449" spans="2:27" x14ac:dyDescent="0.3"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</row>
    <row r="450" spans="2:27" x14ac:dyDescent="0.3"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</row>
    <row r="451" spans="2:27" x14ac:dyDescent="0.3"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</row>
    <row r="452" spans="2:27" x14ac:dyDescent="0.3"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</row>
    <row r="453" spans="2:27" x14ac:dyDescent="0.3"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</row>
    <row r="454" spans="2:27" x14ac:dyDescent="0.3"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</row>
    <row r="455" spans="2:27" x14ac:dyDescent="0.3"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</row>
    <row r="456" spans="2:27" x14ac:dyDescent="0.3"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</row>
    <row r="457" spans="2:27" x14ac:dyDescent="0.3"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</row>
    <row r="458" spans="2:27" x14ac:dyDescent="0.3"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</row>
    <row r="459" spans="2:27" x14ac:dyDescent="0.3"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</row>
    <row r="460" spans="2:27" x14ac:dyDescent="0.3"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</row>
    <row r="461" spans="2:27" x14ac:dyDescent="0.3"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</row>
    <row r="462" spans="2:27" x14ac:dyDescent="0.3"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</row>
    <row r="463" spans="2:27" x14ac:dyDescent="0.3"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</row>
    <row r="464" spans="2:27" x14ac:dyDescent="0.3"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</row>
    <row r="465" spans="2:27" x14ac:dyDescent="0.3"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</row>
    <row r="466" spans="2:27" x14ac:dyDescent="0.3"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</row>
    <row r="467" spans="2:27" x14ac:dyDescent="0.3"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</row>
    <row r="468" spans="2:27" x14ac:dyDescent="0.3"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</row>
    <row r="469" spans="2:27" x14ac:dyDescent="0.3"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</row>
    <row r="470" spans="2:27" x14ac:dyDescent="0.3"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</row>
    <row r="471" spans="2:27" x14ac:dyDescent="0.3"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</row>
    <row r="472" spans="2:27" x14ac:dyDescent="0.3"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</row>
    <row r="473" spans="2:27" x14ac:dyDescent="0.3"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</row>
    <row r="474" spans="2:27" x14ac:dyDescent="0.3"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</row>
    <row r="475" spans="2:27" x14ac:dyDescent="0.3"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</row>
    <row r="476" spans="2:27" x14ac:dyDescent="0.3"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</row>
    <row r="477" spans="2:27" x14ac:dyDescent="0.3"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</row>
    <row r="478" spans="2:27" x14ac:dyDescent="0.3"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</row>
    <row r="479" spans="2:27" x14ac:dyDescent="0.3"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</row>
    <row r="480" spans="2:27" x14ac:dyDescent="0.3"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</row>
    <row r="481" spans="2:27" x14ac:dyDescent="0.3"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</row>
    <row r="482" spans="2:27" x14ac:dyDescent="0.3"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</row>
    <row r="483" spans="2:27" x14ac:dyDescent="0.3"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</row>
    <row r="484" spans="2:27" x14ac:dyDescent="0.3"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</row>
    <row r="485" spans="2:27" x14ac:dyDescent="0.3"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</row>
    <row r="486" spans="2:27" x14ac:dyDescent="0.3"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</row>
    <row r="487" spans="2:27" x14ac:dyDescent="0.3"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</row>
    <row r="488" spans="2:27" x14ac:dyDescent="0.3"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</row>
    <row r="489" spans="2:27" x14ac:dyDescent="0.3"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</row>
    <row r="490" spans="2:27" x14ac:dyDescent="0.3"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</row>
    <row r="491" spans="2:27" x14ac:dyDescent="0.3"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</row>
    <row r="492" spans="2:27" x14ac:dyDescent="0.3"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</row>
    <row r="493" spans="2:27" x14ac:dyDescent="0.3"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</row>
    <row r="494" spans="2:27" x14ac:dyDescent="0.3"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</row>
    <row r="495" spans="2:27" x14ac:dyDescent="0.3"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</row>
    <row r="496" spans="2:27" x14ac:dyDescent="0.3"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</row>
    <row r="497" spans="2:27" x14ac:dyDescent="0.3"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</row>
    <row r="498" spans="2:27" x14ac:dyDescent="0.3"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</row>
    <row r="499" spans="2:27" x14ac:dyDescent="0.3"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</row>
    <row r="500" spans="2:27" x14ac:dyDescent="0.3"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</row>
    <row r="501" spans="2:27" x14ac:dyDescent="0.3"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</row>
    <row r="502" spans="2:27" x14ac:dyDescent="0.3"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</row>
    <row r="503" spans="2:27" x14ac:dyDescent="0.3"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</row>
    <row r="504" spans="2:27" x14ac:dyDescent="0.3"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</row>
    <row r="505" spans="2:27" x14ac:dyDescent="0.3"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</row>
    <row r="506" spans="2:27" x14ac:dyDescent="0.3"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</row>
    <row r="507" spans="2:27" x14ac:dyDescent="0.3"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</row>
    <row r="508" spans="2:27" x14ac:dyDescent="0.3"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</row>
    <row r="509" spans="2:27" x14ac:dyDescent="0.3"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</row>
    <row r="510" spans="2:27" x14ac:dyDescent="0.3"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</row>
    <row r="511" spans="2:27" x14ac:dyDescent="0.3"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</row>
    <row r="512" spans="2:27" x14ac:dyDescent="0.3"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</row>
    <row r="513" spans="2:27" x14ac:dyDescent="0.3"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</row>
    <row r="514" spans="2:27" x14ac:dyDescent="0.3"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</row>
    <row r="515" spans="2:27" x14ac:dyDescent="0.3"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</row>
    <row r="516" spans="2:27" x14ac:dyDescent="0.3"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</row>
    <row r="517" spans="2:27" x14ac:dyDescent="0.3"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</row>
    <row r="518" spans="2:27" x14ac:dyDescent="0.3"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</row>
    <row r="519" spans="2:27" x14ac:dyDescent="0.3"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</row>
    <row r="520" spans="2:27" x14ac:dyDescent="0.3"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</row>
    <row r="521" spans="2:27" x14ac:dyDescent="0.3"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</row>
    <row r="522" spans="2:27" x14ac:dyDescent="0.3"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</row>
    <row r="523" spans="2:27" x14ac:dyDescent="0.3"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</row>
    <row r="524" spans="2:27" x14ac:dyDescent="0.3"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</row>
    <row r="525" spans="2:27" x14ac:dyDescent="0.3"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</row>
    <row r="526" spans="2:27" x14ac:dyDescent="0.3"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</row>
    <row r="527" spans="2:27" x14ac:dyDescent="0.3"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</row>
    <row r="528" spans="2:27" x14ac:dyDescent="0.3"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</row>
    <row r="529" spans="2:27" x14ac:dyDescent="0.3"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</row>
    <row r="530" spans="2:27" x14ac:dyDescent="0.3"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</row>
    <row r="531" spans="2:27" x14ac:dyDescent="0.3"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</row>
    <row r="532" spans="2:27" x14ac:dyDescent="0.3"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</row>
    <row r="533" spans="2:27" x14ac:dyDescent="0.3"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</row>
    <row r="534" spans="2:27" x14ac:dyDescent="0.3"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</row>
    <row r="535" spans="2:27" x14ac:dyDescent="0.3"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</row>
    <row r="536" spans="2:27" x14ac:dyDescent="0.3"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</row>
    <row r="537" spans="2:27" x14ac:dyDescent="0.3"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</row>
    <row r="538" spans="2:27" x14ac:dyDescent="0.3"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</row>
    <row r="539" spans="2:27" x14ac:dyDescent="0.3"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</row>
    <row r="540" spans="2:27" x14ac:dyDescent="0.3"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</row>
    <row r="541" spans="2:27" x14ac:dyDescent="0.3"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</row>
    <row r="542" spans="2:27" x14ac:dyDescent="0.3"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</row>
    <row r="543" spans="2:27" x14ac:dyDescent="0.3"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</row>
    <row r="544" spans="2:27" x14ac:dyDescent="0.3"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</row>
    <row r="545" spans="2:27" x14ac:dyDescent="0.3"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</row>
    <row r="546" spans="2:27" x14ac:dyDescent="0.3"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</row>
    <row r="547" spans="2:27" x14ac:dyDescent="0.3"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</row>
    <row r="548" spans="2:27" x14ac:dyDescent="0.3"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</row>
    <row r="549" spans="2:27" x14ac:dyDescent="0.3"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</row>
    <row r="550" spans="2:27" x14ac:dyDescent="0.3"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</row>
    <row r="551" spans="2:27" x14ac:dyDescent="0.3"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</row>
    <row r="552" spans="2:27" x14ac:dyDescent="0.3"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</row>
    <row r="553" spans="2:27" x14ac:dyDescent="0.3"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</row>
    <row r="554" spans="2:27" x14ac:dyDescent="0.3"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</row>
    <row r="555" spans="2:27" x14ac:dyDescent="0.3"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</row>
    <row r="556" spans="2:27" x14ac:dyDescent="0.3"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</row>
    <row r="557" spans="2:27" x14ac:dyDescent="0.3"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</row>
    <row r="558" spans="2:27" x14ac:dyDescent="0.3"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</row>
    <row r="559" spans="2:27" x14ac:dyDescent="0.3"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</row>
    <row r="560" spans="2:27" x14ac:dyDescent="0.3"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</row>
    <row r="561" spans="2:27" x14ac:dyDescent="0.3"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</row>
    <row r="562" spans="2:27" x14ac:dyDescent="0.3"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</row>
    <row r="563" spans="2:27" x14ac:dyDescent="0.3"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</row>
    <row r="564" spans="2:27" x14ac:dyDescent="0.3"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</row>
    <row r="565" spans="2:27" x14ac:dyDescent="0.3"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</row>
    <row r="566" spans="2:27" x14ac:dyDescent="0.3"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</row>
    <row r="567" spans="2:27" x14ac:dyDescent="0.3"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</row>
    <row r="568" spans="2:27" x14ac:dyDescent="0.3"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</row>
    <row r="569" spans="2:27" x14ac:dyDescent="0.3"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</row>
    <row r="570" spans="2:27" x14ac:dyDescent="0.3"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</row>
    <row r="571" spans="2:27" x14ac:dyDescent="0.3"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</row>
    <row r="572" spans="2:27" x14ac:dyDescent="0.3"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</row>
    <row r="573" spans="2:27" x14ac:dyDescent="0.3"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</row>
    <row r="574" spans="2:27" x14ac:dyDescent="0.3"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</row>
    <row r="575" spans="2:27" x14ac:dyDescent="0.3"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</row>
    <row r="576" spans="2:27" x14ac:dyDescent="0.3"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</row>
    <row r="577" spans="2:27" x14ac:dyDescent="0.3"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</row>
    <row r="578" spans="2:27" x14ac:dyDescent="0.3"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</row>
    <row r="579" spans="2:27" x14ac:dyDescent="0.3"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</row>
    <row r="580" spans="2:27" x14ac:dyDescent="0.3"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</row>
    <row r="581" spans="2:27" x14ac:dyDescent="0.3"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</row>
    <row r="582" spans="2:27" x14ac:dyDescent="0.3"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</row>
    <row r="583" spans="2:27" x14ac:dyDescent="0.3"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</row>
    <row r="584" spans="2:27" x14ac:dyDescent="0.3"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</row>
    <row r="585" spans="2:27" x14ac:dyDescent="0.3"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</row>
    <row r="586" spans="2:27" x14ac:dyDescent="0.3"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</row>
    <row r="587" spans="2:27" x14ac:dyDescent="0.3"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</row>
    <row r="588" spans="2:27" x14ac:dyDescent="0.3"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</row>
    <row r="589" spans="2:27" x14ac:dyDescent="0.3"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</row>
    <row r="590" spans="2:27" x14ac:dyDescent="0.3"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</row>
    <row r="591" spans="2:27" x14ac:dyDescent="0.3"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</row>
    <row r="592" spans="2:27" x14ac:dyDescent="0.3"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</row>
    <row r="593" spans="2:27" x14ac:dyDescent="0.3"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</row>
    <row r="594" spans="2:27" x14ac:dyDescent="0.3"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</row>
    <row r="595" spans="2:27" x14ac:dyDescent="0.3"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</row>
    <row r="596" spans="2:27" x14ac:dyDescent="0.3"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</row>
    <row r="597" spans="2:27" x14ac:dyDescent="0.3"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</row>
    <row r="598" spans="2:27" x14ac:dyDescent="0.3"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</row>
    <row r="599" spans="2:27" x14ac:dyDescent="0.3"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</row>
    <row r="600" spans="2:27" x14ac:dyDescent="0.3"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</row>
    <row r="601" spans="2:27" x14ac:dyDescent="0.3"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</row>
    <row r="602" spans="2:27" x14ac:dyDescent="0.3"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</row>
    <row r="603" spans="2:27" x14ac:dyDescent="0.3"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</row>
    <row r="604" spans="2:27" x14ac:dyDescent="0.3"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</row>
    <row r="605" spans="2:27" x14ac:dyDescent="0.3"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</row>
    <row r="606" spans="2:27" x14ac:dyDescent="0.3"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</row>
    <row r="607" spans="2:27" x14ac:dyDescent="0.3"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</row>
    <row r="608" spans="2:27" x14ac:dyDescent="0.3"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</row>
    <row r="609" spans="2:27" x14ac:dyDescent="0.3"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</row>
    <row r="610" spans="2:27" x14ac:dyDescent="0.3"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</row>
    <row r="611" spans="2:27" x14ac:dyDescent="0.3"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</row>
    <row r="612" spans="2:27" x14ac:dyDescent="0.3"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</row>
    <row r="613" spans="2:27" x14ac:dyDescent="0.3"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</row>
    <row r="614" spans="2:27" x14ac:dyDescent="0.3"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</row>
    <row r="615" spans="2:27" x14ac:dyDescent="0.3"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</row>
    <row r="616" spans="2:27" x14ac:dyDescent="0.3"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</row>
    <row r="617" spans="2:27" x14ac:dyDescent="0.3"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</row>
    <row r="618" spans="2:27" x14ac:dyDescent="0.3"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</row>
    <row r="619" spans="2:27" x14ac:dyDescent="0.3"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</row>
    <row r="620" spans="2:27" x14ac:dyDescent="0.3"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</row>
    <row r="621" spans="2:27" x14ac:dyDescent="0.3"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</row>
    <row r="622" spans="2:27" x14ac:dyDescent="0.3"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</row>
    <row r="623" spans="2:27" x14ac:dyDescent="0.3"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</row>
    <row r="624" spans="2:27" x14ac:dyDescent="0.3"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</row>
    <row r="625" spans="2:27" x14ac:dyDescent="0.3"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</row>
    <row r="626" spans="2:27" x14ac:dyDescent="0.3"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</row>
    <row r="627" spans="2:27" x14ac:dyDescent="0.3"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</row>
    <row r="628" spans="2:27" x14ac:dyDescent="0.3"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</row>
    <row r="629" spans="2:27" x14ac:dyDescent="0.3"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</row>
    <row r="630" spans="2:27" x14ac:dyDescent="0.3"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</row>
    <row r="631" spans="2:27" x14ac:dyDescent="0.3"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</row>
    <row r="632" spans="2:27" x14ac:dyDescent="0.3"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</row>
    <row r="633" spans="2:27" x14ac:dyDescent="0.3"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</row>
    <row r="634" spans="2:27" x14ac:dyDescent="0.3"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</row>
    <row r="635" spans="2:27" x14ac:dyDescent="0.3"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</row>
    <row r="636" spans="2:27" x14ac:dyDescent="0.3"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</row>
    <row r="637" spans="2:27" x14ac:dyDescent="0.3"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</row>
    <row r="638" spans="2:27" x14ac:dyDescent="0.3"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</row>
    <row r="639" spans="2:27" x14ac:dyDescent="0.3"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</row>
    <row r="640" spans="2:27" x14ac:dyDescent="0.3"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</row>
    <row r="641" spans="2:27" x14ac:dyDescent="0.3"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</row>
    <row r="642" spans="2:27" x14ac:dyDescent="0.3"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</row>
    <row r="643" spans="2:27" x14ac:dyDescent="0.3"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</row>
    <row r="644" spans="2:27" x14ac:dyDescent="0.3"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</row>
    <row r="645" spans="2:27" x14ac:dyDescent="0.3"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</row>
    <row r="646" spans="2:27" x14ac:dyDescent="0.3"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</row>
    <row r="647" spans="2:27" x14ac:dyDescent="0.3"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</row>
    <row r="648" spans="2:27" x14ac:dyDescent="0.3"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</row>
    <row r="649" spans="2:27" x14ac:dyDescent="0.3"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</row>
    <row r="650" spans="2:27" x14ac:dyDescent="0.3"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</row>
    <row r="651" spans="2:27" x14ac:dyDescent="0.3"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</row>
    <row r="652" spans="2:27" x14ac:dyDescent="0.3"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</row>
    <row r="653" spans="2:27" x14ac:dyDescent="0.3"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</row>
    <row r="654" spans="2:27" x14ac:dyDescent="0.3"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</row>
    <row r="655" spans="2:27" x14ac:dyDescent="0.3"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</row>
    <row r="656" spans="2:27" x14ac:dyDescent="0.3"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</row>
    <row r="657" spans="2:27" x14ac:dyDescent="0.3"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</row>
    <row r="658" spans="2:27" x14ac:dyDescent="0.3"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</row>
    <row r="659" spans="2:27" x14ac:dyDescent="0.3"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</row>
    <row r="660" spans="2:27" x14ac:dyDescent="0.3"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</row>
    <row r="661" spans="2:27" x14ac:dyDescent="0.3"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</row>
    <row r="662" spans="2:27" x14ac:dyDescent="0.3"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</row>
    <row r="663" spans="2:27" x14ac:dyDescent="0.3"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</row>
    <row r="664" spans="2:27" x14ac:dyDescent="0.3"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</row>
    <row r="665" spans="2:27" x14ac:dyDescent="0.3"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</row>
    <row r="666" spans="2:27" x14ac:dyDescent="0.3"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</row>
    <row r="667" spans="2:27" x14ac:dyDescent="0.3"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</row>
    <row r="668" spans="2:27" x14ac:dyDescent="0.3"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</row>
    <row r="669" spans="2:27" x14ac:dyDescent="0.3"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</row>
    <row r="670" spans="2:27" x14ac:dyDescent="0.3"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</row>
    <row r="671" spans="2:27" x14ac:dyDescent="0.3"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</row>
    <row r="672" spans="2:27" x14ac:dyDescent="0.3"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</row>
    <row r="673" spans="2:27" x14ac:dyDescent="0.3"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</row>
    <row r="674" spans="2:27" x14ac:dyDescent="0.3"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</row>
    <row r="675" spans="2:27" x14ac:dyDescent="0.3"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</row>
    <row r="676" spans="2:27" x14ac:dyDescent="0.3"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</row>
    <row r="677" spans="2:27" x14ac:dyDescent="0.3"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</row>
    <row r="678" spans="2:27" x14ac:dyDescent="0.3"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</row>
    <row r="679" spans="2:27" x14ac:dyDescent="0.3"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</row>
    <row r="680" spans="2:27" x14ac:dyDescent="0.3"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</row>
    <row r="681" spans="2:27" x14ac:dyDescent="0.3"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</row>
    <row r="682" spans="2:27" x14ac:dyDescent="0.3"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</row>
    <row r="683" spans="2:27" x14ac:dyDescent="0.3"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</row>
    <row r="684" spans="2:27" x14ac:dyDescent="0.3"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</row>
    <row r="685" spans="2:27" x14ac:dyDescent="0.3"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</row>
    <row r="686" spans="2:27" x14ac:dyDescent="0.3"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</row>
    <row r="687" spans="2:27" x14ac:dyDescent="0.3"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</row>
    <row r="688" spans="2:27" x14ac:dyDescent="0.3"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</row>
    <row r="689" spans="2:27" x14ac:dyDescent="0.3"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</row>
    <row r="690" spans="2:27" x14ac:dyDescent="0.3"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</row>
    <row r="691" spans="2:27" x14ac:dyDescent="0.3"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</row>
    <row r="692" spans="2:27" x14ac:dyDescent="0.3"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</row>
    <row r="693" spans="2:27" x14ac:dyDescent="0.3"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</row>
    <row r="694" spans="2:27" x14ac:dyDescent="0.3"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</row>
    <row r="695" spans="2:27" x14ac:dyDescent="0.3"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</row>
    <row r="696" spans="2:27" x14ac:dyDescent="0.3"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</row>
    <row r="697" spans="2:27" x14ac:dyDescent="0.3"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</row>
    <row r="698" spans="2:27" x14ac:dyDescent="0.3"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</row>
    <row r="699" spans="2:27" x14ac:dyDescent="0.3"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</row>
    <row r="700" spans="2:27" x14ac:dyDescent="0.3"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</row>
    <row r="701" spans="2:27" x14ac:dyDescent="0.3"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</row>
    <row r="702" spans="2:27" x14ac:dyDescent="0.3"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</row>
    <row r="703" spans="2:27" x14ac:dyDescent="0.3"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</row>
    <row r="704" spans="2:27" x14ac:dyDescent="0.3"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</row>
    <row r="705" spans="2:27" x14ac:dyDescent="0.3"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</row>
    <row r="706" spans="2:27" x14ac:dyDescent="0.3"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</row>
    <row r="707" spans="2:27" x14ac:dyDescent="0.3"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</row>
    <row r="708" spans="2:27" x14ac:dyDescent="0.3"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</row>
    <row r="709" spans="2:27" x14ac:dyDescent="0.3"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</row>
    <row r="710" spans="2:27" x14ac:dyDescent="0.3"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</row>
    <row r="711" spans="2:27" x14ac:dyDescent="0.3"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</row>
    <row r="712" spans="2:27" x14ac:dyDescent="0.3"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</row>
    <row r="713" spans="2:27" x14ac:dyDescent="0.3"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</row>
    <row r="714" spans="2:27" x14ac:dyDescent="0.3"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</row>
    <row r="715" spans="2:27" x14ac:dyDescent="0.3"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</row>
    <row r="716" spans="2:27" x14ac:dyDescent="0.3"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</row>
    <row r="717" spans="2:27" x14ac:dyDescent="0.3"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</row>
    <row r="718" spans="2:27" x14ac:dyDescent="0.3"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</row>
    <row r="719" spans="2:27" x14ac:dyDescent="0.3"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</row>
    <row r="720" spans="2:27" x14ac:dyDescent="0.3"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</row>
    <row r="721" spans="2:27" x14ac:dyDescent="0.3"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</row>
    <row r="722" spans="2:27" x14ac:dyDescent="0.3"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</row>
    <row r="723" spans="2:27" x14ac:dyDescent="0.3"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</row>
    <row r="724" spans="2:27" x14ac:dyDescent="0.3"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</row>
    <row r="725" spans="2:27" x14ac:dyDescent="0.3"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</row>
    <row r="726" spans="2:27" x14ac:dyDescent="0.3"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</row>
    <row r="727" spans="2:27" x14ac:dyDescent="0.3"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</row>
    <row r="728" spans="2:27" x14ac:dyDescent="0.3"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</row>
    <row r="729" spans="2:27" x14ac:dyDescent="0.3"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</row>
    <row r="730" spans="2:27" x14ac:dyDescent="0.3"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</row>
    <row r="731" spans="2:27" x14ac:dyDescent="0.3"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</row>
    <row r="732" spans="2:27" x14ac:dyDescent="0.3"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</row>
    <row r="733" spans="2:27" x14ac:dyDescent="0.3"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</row>
    <row r="734" spans="2:27" x14ac:dyDescent="0.3"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</row>
    <row r="735" spans="2:27" x14ac:dyDescent="0.3"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</row>
    <row r="736" spans="2:27" x14ac:dyDescent="0.3"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</row>
    <row r="737" spans="2:27" x14ac:dyDescent="0.3"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</row>
    <row r="738" spans="2:27" x14ac:dyDescent="0.3"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</row>
    <row r="739" spans="2:27" x14ac:dyDescent="0.3"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</row>
    <row r="740" spans="2:27" x14ac:dyDescent="0.3"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</row>
    <row r="741" spans="2:27" x14ac:dyDescent="0.3"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</row>
    <row r="742" spans="2:27" x14ac:dyDescent="0.3"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</row>
    <row r="743" spans="2:27" x14ac:dyDescent="0.3"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</row>
    <row r="744" spans="2:27" x14ac:dyDescent="0.3"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</row>
    <row r="745" spans="2:27" x14ac:dyDescent="0.3"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</row>
    <row r="746" spans="2:27" x14ac:dyDescent="0.3"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</row>
    <row r="747" spans="2:27" x14ac:dyDescent="0.3"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</row>
    <row r="748" spans="2:27" x14ac:dyDescent="0.3"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</row>
    <row r="749" spans="2:27" x14ac:dyDescent="0.3"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</row>
    <row r="750" spans="2:27" x14ac:dyDescent="0.3"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</row>
    <row r="751" spans="2:27" x14ac:dyDescent="0.3"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</row>
    <row r="752" spans="2:27" x14ac:dyDescent="0.3"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</row>
    <row r="753" spans="2:27" x14ac:dyDescent="0.3"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</row>
    <row r="754" spans="2:27" x14ac:dyDescent="0.3"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</row>
    <row r="755" spans="2:27" x14ac:dyDescent="0.3"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</row>
    <row r="756" spans="2:27" x14ac:dyDescent="0.3"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</row>
    <row r="757" spans="2:27" x14ac:dyDescent="0.3"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</row>
    <row r="758" spans="2:27" x14ac:dyDescent="0.3"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</row>
    <row r="759" spans="2:27" x14ac:dyDescent="0.3"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</row>
    <row r="760" spans="2:27" x14ac:dyDescent="0.3"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</row>
    <row r="761" spans="2:27" x14ac:dyDescent="0.3"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</row>
    <row r="762" spans="2:27" x14ac:dyDescent="0.3"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</row>
    <row r="763" spans="2:27" x14ac:dyDescent="0.3"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</row>
    <row r="764" spans="2:27" x14ac:dyDescent="0.3"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</row>
    <row r="765" spans="2:27" x14ac:dyDescent="0.3"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</row>
    <row r="766" spans="2:27" x14ac:dyDescent="0.3"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</row>
    <row r="767" spans="2:27" x14ac:dyDescent="0.3"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</row>
    <row r="768" spans="2:27" x14ac:dyDescent="0.3"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</row>
    <row r="769" spans="2:27" x14ac:dyDescent="0.3"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</row>
    <row r="770" spans="2:27" x14ac:dyDescent="0.3"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</row>
    <row r="771" spans="2:27" x14ac:dyDescent="0.3"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</row>
    <row r="772" spans="2:27" x14ac:dyDescent="0.3"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</row>
    <row r="773" spans="2:27" x14ac:dyDescent="0.3"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</row>
    <row r="774" spans="2:27" x14ac:dyDescent="0.3"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</row>
    <row r="775" spans="2:27" x14ac:dyDescent="0.3"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</row>
    <row r="776" spans="2:27" x14ac:dyDescent="0.3"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</row>
    <row r="777" spans="2:27" x14ac:dyDescent="0.3"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</row>
    <row r="778" spans="2:27" x14ac:dyDescent="0.3"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</row>
    <row r="779" spans="2:27" x14ac:dyDescent="0.3"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</row>
    <row r="780" spans="2:27" x14ac:dyDescent="0.3"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</row>
    <row r="781" spans="2:27" x14ac:dyDescent="0.3"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</row>
    <row r="782" spans="2:27" x14ac:dyDescent="0.3"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</row>
    <row r="783" spans="2:27" x14ac:dyDescent="0.3"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</row>
    <row r="784" spans="2:27" x14ac:dyDescent="0.3"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</row>
    <row r="785" spans="2:27" x14ac:dyDescent="0.3"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</row>
    <row r="786" spans="2:27" x14ac:dyDescent="0.3"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</row>
    <row r="787" spans="2:27" x14ac:dyDescent="0.3"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</row>
    <row r="788" spans="2:27" x14ac:dyDescent="0.3"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</row>
    <row r="789" spans="2:27" x14ac:dyDescent="0.3"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</row>
    <row r="790" spans="2:27" x14ac:dyDescent="0.3"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</row>
    <row r="791" spans="2:27" x14ac:dyDescent="0.3"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</row>
    <row r="792" spans="2:27" x14ac:dyDescent="0.3"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</row>
    <row r="793" spans="2:27" x14ac:dyDescent="0.3"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</row>
    <row r="794" spans="2:27" x14ac:dyDescent="0.3"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</row>
    <row r="795" spans="2:27" x14ac:dyDescent="0.3"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</row>
    <row r="796" spans="2:27" x14ac:dyDescent="0.3"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</row>
    <row r="797" spans="2:27" x14ac:dyDescent="0.3"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</row>
    <row r="798" spans="2:27" x14ac:dyDescent="0.3"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</row>
    <row r="799" spans="2:27" x14ac:dyDescent="0.3"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</row>
    <row r="800" spans="2:27" x14ac:dyDescent="0.3"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</row>
    <row r="801" spans="2:27" x14ac:dyDescent="0.3"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</row>
    <row r="802" spans="2:27" x14ac:dyDescent="0.3"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</row>
    <row r="803" spans="2:27" x14ac:dyDescent="0.3"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</row>
    <row r="804" spans="2:27" x14ac:dyDescent="0.3"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</row>
    <row r="805" spans="2:27" x14ac:dyDescent="0.3"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</row>
    <row r="806" spans="2:27" x14ac:dyDescent="0.3"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</row>
    <row r="807" spans="2:27" x14ac:dyDescent="0.3"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</row>
    <row r="808" spans="2:27" x14ac:dyDescent="0.3"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</row>
    <row r="809" spans="2:27" x14ac:dyDescent="0.3"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</row>
    <row r="810" spans="2:27" x14ac:dyDescent="0.3"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</row>
    <row r="811" spans="2:27" x14ac:dyDescent="0.3"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</row>
    <row r="812" spans="2:27" x14ac:dyDescent="0.3"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</row>
    <row r="813" spans="2:27" x14ac:dyDescent="0.3"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</row>
    <row r="814" spans="2:27" x14ac:dyDescent="0.3"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</row>
    <row r="815" spans="2:27" x14ac:dyDescent="0.3"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</row>
    <row r="816" spans="2:27" x14ac:dyDescent="0.3"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</row>
    <row r="817" spans="2:27" x14ac:dyDescent="0.3"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</row>
    <row r="818" spans="2:27" x14ac:dyDescent="0.3"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</row>
    <row r="819" spans="2:27" x14ac:dyDescent="0.3"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</row>
    <row r="820" spans="2:27" x14ac:dyDescent="0.3"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</row>
    <row r="821" spans="2:27" x14ac:dyDescent="0.3"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</row>
    <row r="822" spans="2:27" x14ac:dyDescent="0.3"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</row>
    <row r="823" spans="2:27" x14ac:dyDescent="0.3"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</row>
    <row r="824" spans="2:27" x14ac:dyDescent="0.3"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</row>
    <row r="825" spans="2:27" x14ac:dyDescent="0.3"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</row>
    <row r="826" spans="2:27" x14ac:dyDescent="0.3"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</row>
    <row r="827" spans="2:27" x14ac:dyDescent="0.3"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</row>
    <row r="828" spans="2:27" x14ac:dyDescent="0.3"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</row>
    <row r="829" spans="2:27" x14ac:dyDescent="0.3"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</row>
    <row r="830" spans="2:27" x14ac:dyDescent="0.3"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</row>
    <row r="831" spans="2:27" x14ac:dyDescent="0.3"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</row>
    <row r="832" spans="2:27" x14ac:dyDescent="0.3"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</row>
    <row r="833" spans="2:27" x14ac:dyDescent="0.3"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</row>
    <row r="834" spans="2:27" x14ac:dyDescent="0.3"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</row>
    <row r="835" spans="2:27" x14ac:dyDescent="0.3"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</row>
    <row r="836" spans="2:27" x14ac:dyDescent="0.3"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</row>
    <row r="837" spans="2:27" x14ac:dyDescent="0.3"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</row>
    <row r="838" spans="2:27" x14ac:dyDescent="0.3"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</row>
    <row r="839" spans="2:27" x14ac:dyDescent="0.3"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</row>
    <row r="840" spans="2:27" x14ac:dyDescent="0.3"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</row>
    <row r="841" spans="2:27" x14ac:dyDescent="0.3"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</row>
    <row r="842" spans="2:27" x14ac:dyDescent="0.3"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</row>
    <row r="843" spans="2:27" x14ac:dyDescent="0.3"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</row>
    <row r="844" spans="2:27" x14ac:dyDescent="0.3"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</row>
    <row r="845" spans="2:27" x14ac:dyDescent="0.3"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</row>
    <row r="846" spans="2:27" x14ac:dyDescent="0.3"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</row>
    <row r="847" spans="2:27" x14ac:dyDescent="0.3"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</row>
    <row r="848" spans="2:27" x14ac:dyDescent="0.3"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</row>
    <row r="849" spans="2:27" x14ac:dyDescent="0.3"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</row>
    <row r="850" spans="2:27" x14ac:dyDescent="0.3"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</row>
    <row r="851" spans="2:27" x14ac:dyDescent="0.3"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</row>
    <row r="852" spans="2:27" x14ac:dyDescent="0.3"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</row>
    <row r="853" spans="2:27" x14ac:dyDescent="0.3"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</row>
    <row r="854" spans="2:27" x14ac:dyDescent="0.3"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</row>
    <row r="855" spans="2:27" x14ac:dyDescent="0.3"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</row>
    <row r="856" spans="2:27" x14ac:dyDescent="0.3"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</row>
    <row r="857" spans="2:27" x14ac:dyDescent="0.3"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</row>
    <row r="858" spans="2:27" x14ac:dyDescent="0.3"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</row>
    <row r="859" spans="2:27" x14ac:dyDescent="0.3"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</row>
    <row r="860" spans="2:27" x14ac:dyDescent="0.3"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</row>
    <row r="861" spans="2:27" x14ac:dyDescent="0.3"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</row>
    <row r="862" spans="2:27" x14ac:dyDescent="0.3"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</row>
    <row r="863" spans="2:27" x14ac:dyDescent="0.3"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</row>
    <row r="864" spans="2:27" x14ac:dyDescent="0.3"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</row>
    <row r="865" spans="2:27" x14ac:dyDescent="0.3"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</row>
    <row r="866" spans="2:27" x14ac:dyDescent="0.3"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</row>
    <row r="867" spans="2:27" x14ac:dyDescent="0.3"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</row>
    <row r="868" spans="2:27" x14ac:dyDescent="0.3"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</row>
    <row r="869" spans="2:27" x14ac:dyDescent="0.3"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</row>
    <row r="870" spans="2:27" x14ac:dyDescent="0.3"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</row>
    <row r="871" spans="2:27" x14ac:dyDescent="0.3"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</row>
    <row r="872" spans="2:27" x14ac:dyDescent="0.3"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</row>
    <row r="873" spans="2:27" x14ac:dyDescent="0.3"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</row>
    <row r="874" spans="2:27" x14ac:dyDescent="0.3"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</row>
    <row r="875" spans="2:27" x14ac:dyDescent="0.3"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</row>
    <row r="876" spans="2:27" x14ac:dyDescent="0.3"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</row>
    <row r="877" spans="2:27" x14ac:dyDescent="0.3"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</row>
    <row r="878" spans="2:27" x14ac:dyDescent="0.3"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</row>
    <row r="879" spans="2:27" x14ac:dyDescent="0.3"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</row>
    <row r="880" spans="2:27" x14ac:dyDescent="0.3"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</row>
    <row r="881" spans="2:27" x14ac:dyDescent="0.3"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</row>
    <row r="882" spans="2:27" x14ac:dyDescent="0.3"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</row>
    <row r="883" spans="2:27" x14ac:dyDescent="0.3"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</row>
    <row r="884" spans="2:27" x14ac:dyDescent="0.3"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</row>
    <row r="885" spans="2:27" x14ac:dyDescent="0.3"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</row>
    <row r="886" spans="2:27" x14ac:dyDescent="0.3"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</row>
    <row r="887" spans="2:27" x14ac:dyDescent="0.3"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</row>
    <row r="888" spans="2:27" x14ac:dyDescent="0.3"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</row>
    <row r="889" spans="2:27" x14ac:dyDescent="0.3"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</row>
    <row r="890" spans="2:27" x14ac:dyDescent="0.3"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</row>
    <row r="891" spans="2:27" x14ac:dyDescent="0.3"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</row>
    <row r="892" spans="2:27" x14ac:dyDescent="0.3"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</row>
    <row r="893" spans="2:27" x14ac:dyDescent="0.3"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</row>
    <row r="894" spans="2:27" x14ac:dyDescent="0.3"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</row>
    <row r="895" spans="2:27" x14ac:dyDescent="0.3"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</row>
    <row r="896" spans="2:27" x14ac:dyDescent="0.3"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</row>
    <row r="897" spans="2:27" x14ac:dyDescent="0.3"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</row>
    <row r="898" spans="2:27" x14ac:dyDescent="0.3"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</row>
    <row r="899" spans="2:27" x14ac:dyDescent="0.3"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</row>
    <row r="900" spans="2:27" x14ac:dyDescent="0.3"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</row>
    <row r="901" spans="2:27" x14ac:dyDescent="0.3"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</row>
    <row r="902" spans="2:27" x14ac:dyDescent="0.3"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</row>
    <row r="903" spans="2:27" x14ac:dyDescent="0.3"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</row>
    <row r="904" spans="2:27" x14ac:dyDescent="0.3"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</row>
    <row r="905" spans="2:27" x14ac:dyDescent="0.3"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</row>
    <row r="906" spans="2:27" x14ac:dyDescent="0.3"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</row>
    <row r="907" spans="2:27" x14ac:dyDescent="0.3"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</row>
    <row r="908" spans="2:27" x14ac:dyDescent="0.3"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</row>
    <row r="909" spans="2:27" x14ac:dyDescent="0.3"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</row>
    <row r="910" spans="2:27" x14ac:dyDescent="0.3"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</row>
    <row r="911" spans="2:27" x14ac:dyDescent="0.3"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</row>
    <row r="912" spans="2:27" x14ac:dyDescent="0.3"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</row>
    <row r="913" spans="2:27" x14ac:dyDescent="0.3"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</row>
    <row r="914" spans="2:27" x14ac:dyDescent="0.3"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</row>
    <row r="915" spans="2:27" x14ac:dyDescent="0.3"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</row>
    <row r="916" spans="2:27" x14ac:dyDescent="0.3"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</row>
    <row r="917" spans="2:27" x14ac:dyDescent="0.3"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</row>
    <row r="918" spans="2:27" x14ac:dyDescent="0.3"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</row>
    <row r="919" spans="2:27" x14ac:dyDescent="0.3"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</row>
    <row r="920" spans="2:27" x14ac:dyDescent="0.3"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</row>
    <row r="921" spans="2:27" x14ac:dyDescent="0.3"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</row>
    <row r="922" spans="2:27" x14ac:dyDescent="0.3"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</row>
    <row r="923" spans="2:27" x14ac:dyDescent="0.3"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</row>
    <row r="924" spans="2:27" x14ac:dyDescent="0.3"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</row>
    <row r="925" spans="2:27" x14ac:dyDescent="0.3"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</row>
    <row r="926" spans="2:27" x14ac:dyDescent="0.3"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</row>
    <row r="927" spans="2:27" x14ac:dyDescent="0.3"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</row>
    <row r="928" spans="2:27" x14ac:dyDescent="0.3"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</row>
    <row r="929" spans="2:27" x14ac:dyDescent="0.3"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</row>
    <row r="930" spans="2:27" x14ac:dyDescent="0.3"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</row>
    <row r="931" spans="2:27" x14ac:dyDescent="0.3"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</row>
    <row r="932" spans="2:27" x14ac:dyDescent="0.3"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</row>
    <row r="933" spans="2:27" x14ac:dyDescent="0.3"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</row>
    <row r="934" spans="2:27" x14ac:dyDescent="0.3"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</row>
    <row r="935" spans="2:27" x14ac:dyDescent="0.3"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</row>
    <row r="936" spans="2:27" x14ac:dyDescent="0.3"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</row>
    <row r="937" spans="2:27" x14ac:dyDescent="0.3"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</row>
    <row r="938" spans="2:27" x14ac:dyDescent="0.3"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</row>
    <row r="939" spans="2:27" x14ac:dyDescent="0.3"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</row>
    <row r="940" spans="2:27" x14ac:dyDescent="0.3"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</row>
    <row r="941" spans="2:27" x14ac:dyDescent="0.3"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</row>
    <row r="942" spans="2:27" x14ac:dyDescent="0.3"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</row>
    <row r="943" spans="2:27" x14ac:dyDescent="0.3"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</row>
    <row r="944" spans="2:27" x14ac:dyDescent="0.3"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</row>
    <row r="945" spans="2:27" x14ac:dyDescent="0.3"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</row>
    <row r="946" spans="2:27" x14ac:dyDescent="0.3"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</row>
    <row r="947" spans="2:27" x14ac:dyDescent="0.3"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</row>
    <row r="948" spans="2:27" x14ac:dyDescent="0.3"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</row>
    <row r="949" spans="2:27" x14ac:dyDescent="0.3"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</row>
    <row r="950" spans="2:27" x14ac:dyDescent="0.3"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</row>
    <row r="951" spans="2:27" x14ac:dyDescent="0.3"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</row>
    <row r="952" spans="2:27" x14ac:dyDescent="0.3"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</row>
    <row r="953" spans="2:27" x14ac:dyDescent="0.3"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</row>
    <row r="954" spans="2:27" x14ac:dyDescent="0.3"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</row>
    <row r="955" spans="2:27" x14ac:dyDescent="0.3"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</row>
    <row r="956" spans="2:27" x14ac:dyDescent="0.3"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</row>
    <row r="957" spans="2:27" x14ac:dyDescent="0.3"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</row>
    <row r="958" spans="2:27" x14ac:dyDescent="0.3"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</row>
    <row r="959" spans="2:27" x14ac:dyDescent="0.3"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</row>
    <row r="960" spans="2:27" x14ac:dyDescent="0.3"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</row>
    <row r="961" spans="2:27" x14ac:dyDescent="0.3"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</row>
    <row r="962" spans="2:27" x14ac:dyDescent="0.3"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</row>
    <row r="963" spans="2:27" x14ac:dyDescent="0.3"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</row>
    <row r="964" spans="2:27" x14ac:dyDescent="0.3"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</row>
    <row r="965" spans="2:27" x14ac:dyDescent="0.3"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</row>
    <row r="966" spans="2:27" x14ac:dyDescent="0.3"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</row>
    <row r="967" spans="2:27" x14ac:dyDescent="0.3"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</row>
    <row r="968" spans="2:27" x14ac:dyDescent="0.3"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</row>
    <row r="969" spans="2:27" x14ac:dyDescent="0.3"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</row>
    <row r="970" spans="2:27" x14ac:dyDescent="0.3"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</row>
    <row r="971" spans="2:27" x14ac:dyDescent="0.3"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</row>
    <row r="972" spans="2:27" x14ac:dyDescent="0.3"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</row>
    <row r="973" spans="2:27" x14ac:dyDescent="0.3"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</row>
    <row r="974" spans="2:27" x14ac:dyDescent="0.3"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</row>
    <row r="975" spans="2:27" x14ac:dyDescent="0.3"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</row>
    <row r="976" spans="2:27" x14ac:dyDescent="0.3"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</row>
    <row r="977" spans="2:27" x14ac:dyDescent="0.3"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</row>
    <row r="978" spans="2:27" x14ac:dyDescent="0.3"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</row>
    <row r="979" spans="2:27" x14ac:dyDescent="0.3"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</row>
    <row r="980" spans="2:27" x14ac:dyDescent="0.3"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</row>
    <row r="981" spans="2:27" x14ac:dyDescent="0.3"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</row>
    <row r="982" spans="2:27" x14ac:dyDescent="0.3"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</row>
    <row r="983" spans="2:27" x14ac:dyDescent="0.3"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</row>
    <row r="984" spans="2:27" x14ac:dyDescent="0.3"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</row>
    <row r="985" spans="2:27" x14ac:dyDescent="0.3"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</row>
    <row r="986" spans="2:27" x14ac:dyDescent="0.3"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</row>
    <row r="987" spans="2:27" x14ac:dyDescent="0.3"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</row>
    <row r="988" spans="2:27" x14ac:dyDescent="0.3"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</row>
    <row r="989" spans="2:27" x14ac:dyDescent="0.3"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</row>
    <row r="990" spans="2:27" x14ac:dyDescent="0.3"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</row>
    <row r="991" spans="2:27" x14ac:dyDescent="0.3"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</row>
    <row r="992" spans="2:27" x14ac:dyDescent="0.3"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</row>
    <row r="993" spans="2:27" x14ac:dyDescent="0.3"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</row>
    <row r="994" spans="2:27" x14ac:dyDescent="0.3"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</row>
    <row r="995" spans="2:27" x14ac:dyDescent="0.3"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</row>
    <row r="996" spans="2:27" x14ac:dyDescent="0.3"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</row>
    <row r="997" spans="2:27" x14ac:dyDescent="0.3"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</row>
    <row r="998" spans="2:27" x14ac:dyDescent="0.3"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</row>
    <row r="999" spans="2:27" x14ac:dyDescent="0.3"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</row>
    <row r="1000" spans="2:27" x14ac:dyDescent="0.3"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</row>
    <row r="1001" spans="2:27" x14ac:dyDescent="0.3"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</row>
    <row r="1002" spans="2:27" x14ac:dyDescent="0.3"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</row>
    <row r="1003" spans="2:27" x14ac:dyDescent="0.3"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</row>
    <row r="1004" spans="2:27" x14ac:dyDescent="0.3"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</row>
    <row r="1005" spans="2:27" x14ac:dyDescent="0.3"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</row>
    <row r="1006" spans="2:27" x14ac:dyDescent="0.3"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</row>
    <row r="1007" spans="2:27" x14ac:dyDescent="0.3"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</row>
    <row r="1008" spans="2:27" x14ac:dyDescent="0.3"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</row>
  </sheetData>
  <mergeCells count="6">
    <mergeCell ref="B36:B38"/>
    <mergeCell ref="C7:D7"/>
    <mergeCell ref="B4:H4"/>
    <mergeCell ref="B8:B10"/>
    <mergeCell ref="B11:B14"/>
    <mergeCell ref="B15:C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AA1004"/>
  <sheetViews>
    <sheetView tabSelected="1" zoomScale="70" zoomScaleNormal="70" workbookViewId="0"/>
  </sheetViews>
  <sheetFormatPr defaultColWidth="8.88671875" defaultRowHeight="16.8" x14ac:dyDescent="0.3"/>
  <cols>
    <col min="1" max="1" width="8.88671875" style="16"/>
    <col min="2" max="2" width="34.33203125" style="16" customWidth="1"/>
    <col min="3" max="3" width="70.88671875" style="16" customWidth="1"/>
    <col min="4" max="4" width="21.5546875" style="16" customWidth="1"/>
    <col min="5" max="5" width="18.109375" style="16" customWidth="1"/>
    <col min="6" max="6" width="17.5546875" style="16" customWidth="1"/>
    <col min="7" max="8" width="11.6640625" style="16" customWidth="1"/>
    <col min="9" max="16384" width="8.88671875" style="16"/>
  </cols>
  <sheetData>
    <row r="3" spans="2:27" ht="17.399999999999999" thickBot="1" x14ac:dyDescent="0.35"/>
    <row r="4" spans="2:27" ht="40.950000000000003" customHeight="1" thickBot="1" x14ac:dyDescent="0.35">
      <c r="B4" s="19" t="s">
        <v>27</v>
      </c>
      <c r="C4" s="20"/>
      <c r="D4" s="20"/>
      <c r="E4" s="20"/>
      <c r="F4" s="20"/>
      <c r="G4" s="20"/>
      <c r="H4" s="21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spans="2:27" x14ac:dyDescent="0.3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spans="2:27" x14ac:dyDescent="0.3"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spans="2:27" s="14" customFormat="1" ht="20.399999999999999" customHeight="1" x14ac:dyDescent="0.3">
      <c r="B7" s="1" t="s">
        <v>7</v>
      </c>
      <c r="C7" s="18" t="s">
        <v>8</v>
      </c>
      <c r="D7" s="18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2:27" s="14" customFormat="1" ht="20.399999999999999" customHeight="1" x14ac:dyDescent="0.3">
      <c r="B8" s="2" t="s">
        <v>9</v>
      </c>
      <c r="C8" s="4" t="s">
        <v>10</v>
      </c>
      <c r="D8" s="5">
        <v>249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2:27" s="14" customFormat="1" ht="20.399999999999999" customHeight="1" x14ac:dyDescent="0.3">
      <c r="B9" s="2"/>
      <c r="C9" s="6" t="s">
        <v>11</v>
      </c>
      <c r="D9" s="7">
        <v>3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2:27" s="14" customFormat="1" ht="20.399999999999999" customHeight="1" x14ac:dyDescent="0.3">
      <c r="B10" s="2"/>
      <c r="C10" s="1" t="s">
        <v>12</v>
      </c>
      <c r="D10" s="8">
        <f>SUM(D8:D9)</f>
        <v>252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2:27" s="14" customFormat="1" ht="20.399999999999999" customHeight="1" x14ac:dyDescent="0.3">
      <c r="B11" s="2" t="s">
        <v>13</v>
      </c>
      <c r="C11" s="9" t="s">
        <v>14</v>
      </c>
      <c r="D11" s="10">
        <v>0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2:27" s="14" customFormat="1" ht="20.399999999999999" customHeight="1" x14ac:dyDescent="0.3">
      <c r="B12" s="2"/>
      <c r="C12" s="9" t="s">
        <v>15</v>
      </c>
      <c r="D12" s="10">
        <v>0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2:27" s="14" customFormat="1" ht="20.399999999999999" customHeight="1" x14ac:dyDescent="0.3">
      <c r="B13" s="2"/>
      <c r="C13" s="9" t="s">
        <v>16</v>
      </c>
      <c r="D13" s="10">
        <v>0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2:27" s="14" customFormat="1" ht="20.399999999999999" customHeight="1" x14ac:dyDescent="0.3">
      <c r="B14" s="2"/>
      <c r="C14" s="1" t="s">
        <v>17</v>
      </c>
      <c r="D14" s="8">
        <v>0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2:27" s="14" customFormat="1" ht="20.399999999999999" customHeight="1" x14ac:dyDescent="0.3">
      <c r="B15" s="2" t="s">
        <v>18</v>
      </c>
      <c r="C15" s="2"/>
      <c r="D15" s="8">
        <f>SUM(D10+D14)</f>
        <v>252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2:27" s="14" customFormat="1" ht="20.399999999999999" customHeight="1" x14ac:dyDescent="0.3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2:27" s="14" customFormat="1" ht="20.399999999999999" customHeight="1" x14ac:dyDescent="0.3">
      <c r="B17" s="11" t="s">
        <v>0</v>
      </c>
      <c r="C17" s="11" t="s">
        <v>1</v>
      </c>
      <c r="D17" s="11" t="s">
        <v>2</v>
      </c>
      <c r="E17" s="11" t="s">
        <v>3</v>
      </c>
      <c r="F17" s="11" t="s">
        <v>4</v>
      </c>
      <c r="G17" s="11" t="s">
        <v>5</v>
      </c>
      <c r="H17" s="11" t="s">
        <v>6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2:27" s="14" customFormat="1" ht="20.399999999999999" customHeight="1" x14ac:dyDescent="0.3">
      <c r="B18" s="3" t="s">
        <v>60</v>
      </c>
      <c r="C18" s="9" t="s">
        <v>76</v>
      </c>
      <c r="D18" s="12">
        <v>1</v>
      </c>
      <c r="E18" s="13">
        <v>0.94120000000000004</v>
      </c>
      <c r="F18" s="10">
        <v>0</v>
      </c>
      <c r="G18" s="10">
        <v>1</v>
      </c>
      <c r="H18" s="9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spans="2:27" s="14" customFormat="1" ht="20.399999999999999" customHeight="1" x14ac:dyDescent="0.3">
      <c r="B19" s="3" t="s">
        <v>61</v>
      </c>
      <c r="C19" s="9" t="s">
        <v>77</v>
      </c>
      <c r="D19" s="12">
        <v>1</v>
      </c>
      <c r="E19" s="12">
        <v>1</v>
      </c>
      <c r="F19" s="10">
        <v>0</v>
      </c>
      <c r="G19" s="10">
        <v>2</v>
      </c>
      <c r="H19" s="9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2:27" s="14" customFormat="1" ht="20.399999999999999" customHeight="1" x14ac:dyDescent="0.3">
      <c r="B20" s="3" t="s">
        <v>62</v>
      </c>
      <c r="C20" s="9" t="s">
        <v>78</v>
      </c>
      <c r="D20" s="12">
        <v>1</v>
      </c>
      <c r="E20" s="12">
        <v>1</v>
      </c>
      <c r="F20" s="10">
        <v>0</v>
      </c>
      <c r="G20" s="10">
        <v>2</v>
      </c>
      <c r="H20" s="9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2:27" s="14" customFormat="1" ht="20.399999999999999" customHeight="1" x14ac:dyDescent="0.3">
      <c r="B21" s="3" t="s">
        <v>63</v>
      </c>
      <c r="C21" s="9" t="s">
        <v>79</v>
      </c>
      <c r="D21" s="12">
        <v>1</v>
      </c>
      <c r="E21" s="12">
        <v>1</v>
      </c>
      <c r="F21" s="10">
        <v>0</v>
      </c>
      <c r="G21" s="10">
        <v>2</v>
      </c>
      <c r="H21" s="9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2:27" s="14" customFormat="1" ht="20.399999999999999" customHeight="1" x14ac:dyDescent="0.3">
      <c r="B22" s="3" t="s">
        <v>64</v>
      </c>
      <c r="C22" s="9" t="s">
        <v>80</v>
      </c>
      <c r="D22" s="12">
        <v>1</v>
      </c>
      <c r="E22" s="12">
        <v>1</v>
      </c>
      <c r="F22" s="10">
        <v>0</v>
      </c>
      <c r="G22" s="10">
        <v>2</v>
      </c>
      <c r="H22" s="9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2:27" s="14" customFormat="1" ht="20.399999999999999" customHeight="1" x14ac:dyDescent="0.3">
      <c r="B23" s="3" t="s">
        <v>65</v>
      </c>
      <c r="C23" s="9" t="s">
        <v>81</v>
      </c>
      <c r="D23" s="12">
        <v>1</v>
      </c>
      <c r="E23" s="12">
        <v>1</v>
      </c>
      <c r="F23" s="10">
        <v>0</v>
      </c>
      <c r="G23" s="10">
        <v>2</v>
      </c>
      <c r="H23" s="9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2:27" s="14" customFormat="1" ht="20.399999999999999" customHeight="1" x14ac:dyDescent="0.3">
      <c r="B24" s="3" t="s">
        <v>66</v>
      </c>
      <c r="C24" s="9" t="s">
        <v>82</v>
      </c>
      <c r="D24" s="12">
        <v>1</v>
      </c>
      <c r="E24" s="12">
        <v>1</v>
      </c>
      <c r="F24" s="10">
        <v>0</v>
      </c>
      <c r="G24" s="10">
        <v>2</v>
      </c>
      <c r="H24" s="9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2:27" s="14" customFormat="1" ht="20.399999999999999" customHeight="1" x14ac:dyDescent="0.3">
      <c r="B25" s="3" t="s">
        <v>67</v>
      </c>
      <c r="C25" s="9" t="s">
        <v>83</v>
      </c>
      <c r="D25" s="12">
        <v>1</v>
      </c>
      <c r="E25" s="12">
        <v>1</v>
      </c>
      <c r="F25" s="10">
        <v>0</v>
      </c>
      <c r="G25" s="10">
        <v>3</v>
      </c>
      <c r="H25" s="9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2:27" s="14" customFormat="1" ht="20.399999999999999" customHeight="1" x14ac:dyDescent="0.3">
      <c r="B26" s="3" t="s">
        <v>68</v>
      </c>
      <c r="C26" s="9" t="s">
        <v>84</v>
      </c>
      <c r="D26" s="12">
        <v>1</v>
      </c>
      <c r="E26" s="12">
        <v>1</v>
      </c>
      <c r="F26" s="10">
        <v>0</v>
      </c>
      <c r="G26" s="10">
        <v>3</v>
      </c>
      <c r="H26" s="9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2:27" s="14" customFormat="1" ht="20.399999999999999" customHeight="1" x14ac:dyDescent="0.3">
      <c r="B27" s="3" t="s">
        <v>69</v>
      </c>
      <c r="C27" s="9" t="s">
        <v>85</v>
      </c>
      <c r="D27" s="12">
        <v>1</v>
      </c>
      <c r="E27" s="12">
        <v>1</v>
      </c>
      <c r="F27" s="10">
        <v>0</v>
      </c>
      <c r="G27" s="10">
        <v>3</v>
      </c>
      <c r="H27" s="9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2:27" s="14" customFormat="1" ht="20.399999999999999" customHeight="1" x14ac:dyDescent="0.3">
      <c r="B28" s="3" t="s">
        <v>70</v>
      </c>
      <c r="C28" s="9" t="s">
        <v>86</v>
      </c>
      <c r="D28" s="12">
        <v>1</v>
      </c>
      <c r="E28" s="12">
        <v>1</v>
      </c>
      <c r="F28" s="10">
        <v>0</v>
      </c>
      <c r="G28" s="10">
        <v>2</v>
      </c>
      <c r="H28" s="9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2:27" s="14" customFormat="1" ht="20.399999999999999" customHeight="1" x14ac:dyDescent="0.3">
      <c r="B29" s="3" t="s">
        <v>71</v>
      </c>
      <c r="C29" s="9" t="s">
        <v>87</v>
      </c>
      <c r="D29" s="12">
        <v>1</v>
      </c>
      <c r="E29" s="13">
        <v>0.85709999999999997</v>
      </c>
      <c r="F29" s="10">
        <v>0</v>
      </c>
      <c r="G29" s="10">
        <v>3</v>
      </c>
      <c r="H29" s="9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2:27" s="14" customFormat="1" ht="20.399999999999999" customHeight="1" x14ac:dyDescent="0.3">
      <c r="B30" s="3" t="s">
        <v>72</v>
      </c>
      <c r="C30" s="9" t="s">
        <v>88</v>
      </c>
      <c r="D30" s="12">
        <v>1</v>
      </c>
      <c r="E30" s="12">
        <v>1</v>
      </c>
      <c r="F30" s="10">
        <v>0</v>
      </c>
      <c r="G30" s="10">
        <v>3</v>
      </c>
      <c r="H30" s="9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2:27" s="14" customFormat="1" ht="20.399999999999999" customHeight="1" x14ac:dyDescent="0.3">
      <c r="B31" s="3" t="s">
        <v>73</v>
      </c>
      <c r="C31" s="9" t="s">
        <v>89</v>
      </c>
      <c r="D31" s="12">
        <v>1</v>
      </c>
      <c r="E31" s="12">
        <v>1</v>
      </c>
      <c r="F31" s="10">
        <v>0</v>
      </c>
      <c r="G31" s="10">
        <v>3</v>
      </c>
      <c r="H31" s="9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2:27" s="14" customFormat="1" ht="20.399999999999999" customHeight="1" x14ac:dyDescent="0.3">
      <c r="B32" s="3" t="s">
        <v>74</v>
      </c>
      <c r="C32" s="9" t="s">
        <v>90</v>
      </c>
      <c r="D32" s="12">
        <v>1</v>
      </c>
      <c r="E32" s="12">
        <v>1</v>
      </c>
      <c r="F32" s="10">
        <v>0</v>
      </c>
      <c r="G32" s="10">
        <v>3</v>
      </c>
      <c r="H32" s="9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2:27" s="14" customFormat="1" ht="20.399999999999999" customHeight="1" x14ac:dyDescent="0.3">
      <c r="B33" s="3" t="s">
        <v>75</v>
      </c>
      <c r="C33" s="9" t="s">
        <v>91</v>
      </c>
      <c r="D33" s="12">
        <v>1</v>
      </c>
      <c r="E33" s="13">
        <v>0.97670000000000001</v>
      </c>
      <c r="F33" s="10">
        <v>0</v>
      </c>
      <c r="G33" s="10">
        <v>2</v>
      </c>
      <c r="H33" s="9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2:27" s="14" customFormat="1" ht="20.399999999999999" customHeight="1" x14ac:dyDescent="0.3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2:27" s="14" customFormat="1" ht="20.399999999999999" customHeight="1" x14ac:dyDescent="0.3">
      <c r="B35" s="11" t="s">
        <v>19</v>
      </c>
      <c r="C35" s="11" t="s">
        <v>1</v>
      </c>
      <c r="D35" s="11" t="s">
        <v>20</v>
      </c>
      <c r="E35" s="11" t="s">
        <v>21</v>
      </c>
      <c r="F35" s="11" t="s">
        <v>5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2:27" s="14" customFormat="1" ht="20.399999999999999" customHeight="1" x14ac:dyDescent="0.3">
      <c r="B36" s="2" t="s">
        <v>25</v>
      </c>
      <c r="C36" s="1" t="s">
        <v>22</v>
      </c>
      <c r="D36" s="10">
        <v>3</v>
      </c>
      <c r="E36" s="9"/>
      <c r="F36" s="9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2:27" s="14" customFormat="1" ht="20.399999999999999" customHeight="1" x14ac:dyDescent="0.3">
      <c r="B37" s="2"/>
      <c r="C37" s="1" t="s">
        <v>23</v>
      </c>
      <c r="D37" s="10">
        <v>0</v>
      </c>
      <c r="E37" s="9"/>
      <c r="F37" s="9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2:27" s="14" customFormat="1" ht="20.399999999999999" customHeight="1" x14ac:dyDescent="0.3">
      <c r="B38" s="2"/>
      <c r="C38" s="1" t="s">
        <v>24</v>
      </c>
      <c r="D38" s="10">
        <v>3</v>
      </c>
      <c r="E38" s="9"/>
      <c r="F38" s="9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2:27" x14ac:dyDescent="0.3"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spans="2:27" x14ac:dyDescent="0.3"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spans="2:27" x14ac:dyDescent="0.3"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spans="2:27" x14ac:dyDescent="0.3"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spans="2:27" x14ac:dyDescent="0.3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spans="2:27" x14ac:dyDescent="0.3"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x14ac:dyDescent="0.3"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spans="2:27" x14ac:dyDescent="0.3"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spans="2:27" x14ac:dyDescent="0.3"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x14ac:dyDescent="0.3"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spans="2:27" x14ac:dyDescent="0.3"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spans="2:27" x14ac:dyDescent="0.3"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x14ac:dyDescent="0.3"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spans="2:27" x14ac:dyDescent="0.3"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spans="2:27" x14ac:dyDescent="0.3"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x14ac:dyDescent="0.3"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spans="2:27" x14ac:dyDescent="0.3"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spans="2:27" x14ac:dyDescent="0.3"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spans="2:27" x14ac:dyDescent="0.3"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spans="2:27" x14ac:dyDescent="0.3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spans="2:27" x14ac:dyDescent="0.3"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spans="2:27" x14ac:dyDescent="0.3"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spans="2:27" x14ac:dyDescent="0.3"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spans="2:27" x14ac:dyDescent="0.3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spans="2:27" x14ac:dyDescent="0.3"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spans="2:27" x14ac:dyDescent="0.3"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spans="2:27" x14ac:dyDescent="0.3"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spans="2:27" x14ac:dyDescent="0.3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spans="2:27" x14ac:dyDescent="0.3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spans="2:27" x14ac:dyDescent="0.3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2:27" x14ac:dyDescent="0.3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2:27" x14ac:dyDescent="0.3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2:27" x14ac:dyDescent="0.3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spans="2:27" x14ac:dyDescent="0.3"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spans="2:27" x14ac:dyDescent="0.3"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spans="2:27" x14ac:dyDescent="0.3"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spans="2:27" x14ac:dyDescent="0.3"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spans="2:27" x14ac:dyDescent="0.3"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spans="2:27" x14ac:dyDescent="0.3"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spans="2:27" x14ac:dyDescent="0.3"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spans="2:27" x14ac:dyDescent="0.3"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spans="2:27" x14ac:dyDescent="0.3"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spans="2:27" x14ac:dyDescent="0.3"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spans="2:27" x14ac:dyDescent="0.3"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spans="2:27" x14ac:dyDescent="0.3"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spans="2:27" x14ac:dyDescent="0.3"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spans="2:27" x14ac:dyDescent="0.3"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spans="2:27" x14ac:dyDescent="0.3"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spans="2:27" x14ac:dyDescent="0.3"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spans="2:27" x14ac:dyDescent="0.3"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spans="2:27" x14ac:dyDescent="0.3"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spans="2:27" x14ac:dyDescent="0.3"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spans="2:27" x14ac:dyDescent="0.3"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spans="2:27" x14ac:dyDescent="0.3"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spans="2:27" x14ac:dyDescent="0.3"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spans="2:27" x14ac:dyDescent="0.3"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spans="2:27" x14ac:dyDescent="0.3"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spans="2:27" x14ac:dyDescent="0.3"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spans="2:27" x14ac:dyDescent="0.3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spans="2:27" x14ac:dyDescent="0.3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spans="2:27" x14ac:dyDescent="0.3"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spans="2:27" x14ac:dyDescent="0.3"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spans="2:27" x14ac:dyDescent="0.3"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spans="2:27" x14ac:dyDescent="0.3"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spans="2:27" x14ac:dyDescent="0.3"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spans="2:27" x14ac:dyDescent="0.3"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spans="2:27" x14ac:dyDescent="0.3"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spans="2:27" x14ac:dyDescent="0.3"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spans="2:27" x14ac:dyDescent="0.3"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spans="2:27" x14ac:dyDescent="0.3"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spans="2:27" x14ac:dyDescent="0.3"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spans="2:27" x14ac:dyDescent="0.3"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spans="2:27" x14ac:dyDescent="0.3"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spans="2:27" x14ac:dyDescent="0.3"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spans="2:27" x14ac:dyDescent="0.3"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spans="2:27" x14ac:dyDescent="0.3"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spans="2:27" x14ac:dyDescent="0.3"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spans="2:27" x14ac:dyDescent="0.3"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spans="2:27" x14ac:dyDescent="0.3"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spans="2:27" x14ac:dyDescent="0.3"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spans="2:27" x14ac:dyDescent="0.3"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spans="2:27" x14ac:dyDescent="0.3"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spans="2:27" x14ac:dyDescent="0.3"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spans="2:27" x14ac:dyDescent="0.3"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spans="2:27" x14ac:dyDescent="0.3"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spans="2:27" x14ac:dyDescent="0.3"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spans="2:27" x14ac:dyDescent="0.3"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spans="2:27" x14ac:dyDescent="0.3"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spans="2:27" x14ac:dyDescent="0.3"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spans="2:27" x14ac:dyDescent="0.3"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spans="2:27" x14ac:dyDescent="0.3"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spans="2:27" x14ac:dyDescent="0.3"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spans="2:27" x14ac:dyDescent="0.3"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spans="2:27" x14ac:dyDescent="0.3"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spans="2:27" x14ac:dyDescent="0.3"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spans="2:27" x14ac:dyDescent="0.3"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spans="2:27" x14ac:dyDescent="0.3"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spans="2:27" x14ac:dyDescent="0.3"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spans="2:27" x14ac:dyDescent="0.3"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spans="2:27" x14ac:dyDescent="0.3"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spans="2:27" x14ac:dyDescent="0.3"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spans="2:27" x14ac:dyDescent="0.3"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spans="2:27" x14ac:dyDescent="0.3"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spans="2:27" x14ac:dyDescent="0.3"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spans="2:27" x14ac:dyDescent="0.3"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spans="2:27" x14ac:dyDescent="0.3"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spans="2:27" x14ac:dyDescent="0.3"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spans="2:27" x14ac:dyDescent="0.3"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spans="2:27" x14ac:dyDescent="0.3"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spans="2:27" x14ac:dyDescent="0.3"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spans="2:27" x14ac:dyDescent="0.3"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spans="2:27" x14ac:dyDescent="0.3"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spans="2:27" x14ac:dyDescent="0.3"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spans="2:27" x14ac:dyDescent="0.3"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spans="2:27" x14ac:dyDescent="0.3"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spans="2:27" x14ac:dyDescent="0.3"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spans="2:27" x14ac:dyDescent="0.3"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spans="2:27" x14ac:dyDescent="0.3"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spans="2:27" x14ac:dyDescent="0.3"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spans="2:27" x14ac:dyDescent="0.3"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spans="2:27" x14ac:dyDescent="0.3"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spans="2:27" x14ac:dyDescent="0.3"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spans="2:27" x14ac:dyDescent="0.3"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spans="2:27" x14ac:dyDescent="0.3"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spans="2:27" x14ac:dyDescent="0.3"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spans="2:27" x14ac:dyDescent="0.3"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spans="2:27" x14ac:dyDescent="0.3"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spans="2:27" x14ac:dyDescent="0.3"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spans="2:27" x14ac:dyDescent="0.3"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spans="2:27" x14ac:dyDescent="0.3"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spans="2:27" x14ac:dyDescent="0.3"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spans="2:27" x14ac:dyDescent="0.3"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spans="2:27" x14ac:dyDescent="0.3"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spans="2:27" x14ac:dyDescent="0.3"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spans="2:27" x14ac:dyDescent="0.3"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spans="2:27" x14ac:dyDescent="0.3"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spans="2:27" x14ac:dyDescent="0.3"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spans="2:27" x14ac:dyDescent="0.3"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spans="2:27" x14ac:dyDescent="0.3"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spans="2:27" x14ac:dyDescent="0.3"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spans="2:27" x14ac:dyDescent="0.3"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spans="2:27" x14ac:dyDescent="0.3"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spans="2:27" x14ac:dyDescent="0.3"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spans="2:27" x14ac:dyDescent="0.3"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spans="2:27" x14ac:dyDescent="0.3"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spans="2:27" x14ac:dyDescent="0.3"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spans="2:27" x14ac:dyDescent="0.3"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spans="2:27" x14ac:dyDescent="0.3"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spans="2:27" x14ac:dyDescent="0.3"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spans="2:27" x14ac:dyDescent="0.3"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spans="2:27" x14ac:dyDescent="0.3"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spans="2:27" x14ac:dyDescent="0.3"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spans="2:27" x14ac:dyDescent="0.3"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spans="2:27" x14ac:dyDescent="0.3"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spans="2:27" x14ac:dyDescent="0.3"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spans="2:27" x14ac:dyDescent="0.3"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spans="2:27" x14ac:dyDescent="0.3"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spans="2:27" x14ac:dyDescent="0.3"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spans="2:27" x14ac:dyDescent="0.3"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spans="2:27" x14ac:dyDescent="0.3"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spans="2:27" x14ac:dyDescent="0.3"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spans="2:27" x14ac:dyDescent="0.3"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spans="2:27" x14ac:dyDescent="0.3"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spans="2:27" x14ac:dyDescent="0.3"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spans="2:27" x14ac:dyDescent="0.3"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spans="2:27" x14ac:dyDescent="0.3"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spans="2:27" x14ac:dyDescent="0.3"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spans="2:27" x14ac:dyDescent="0.3"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spans="2:27" x14ac:dyDescent="0.3"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spans="2:27" x14ac:dyDescent="0.3"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spans="2:27" x14ac:dyDescent="0.3"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spans="2:27" x14ac:dyDescent="0.3"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spans="2:27" x14ac:dyDescent="0.3"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spans="2:27" x14ac:dyDescent="0.3"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spans="2:27" x14ac:dyDescent="0.3"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spans="2:27" x14ac:dyDescent="0.3"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spans="2:27" x14ac:dyDescent="0.3"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spans="2:27" x14ac:dyDescent="0.3"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spans="2:27" x14ac:dyDescent="0.3"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spans="2:27" x14ac:dyDescent="0.3"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spans="2:27" x14ac:dyDescent="0.3"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spans="2:27" x14ac:dyDescent="0.3"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spans="2:27" x14ac:dyDescent="0.3"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spans="2:27" x14ac:dyDescent="0.3"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spans="2:27" x14ac:dyDescent="0.3"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spans="2:27" x14ac:dyDescent="0.3"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spans="2:27" x14ac:dyDescent="0.3"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spans="2:27" x14ac:dyDescent="0.3"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spans="2:27" x14ac:dyDescent="0.3"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spans="2:27" x14ac:dyDescent="0.3"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spans="2:27" x14ac:dyDescent="0.3"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spans="2:27" x14ac:dyDescent="0.3"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spans="2:27" x14ac:dyDescent="0.3"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spans="2:27" x14ac:dyDescent="0.3"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spans="2:27" x14ac:dyDescent="0.3"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spans="2:27" x14ac:dyDescent="0.3"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spans="2:27" x14ac:dyDescent="0.3"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spans="2:27" x14ac:dyDescent="0.3"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spans="2:27" x14ac:dyDescent="0.3"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spans="2:27" x14ac:dyDescent="0.3"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spans="2:27" x14ac:dyDescent="0.3"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spans="2:27" x14ac:dyDescent="0.3"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spans="2:27" x14ac:dyDescent="0.3"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spans="2:27" x14ac:dyDescent="0.3"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spans="2:27" x14ac:dyDescent="0.3"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spans="2:27" x14ac:dyDescent="0.3"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spans="2:27" x14ac:dyDescent="0.3"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spans="2:27" x14ac:dyDescent="0.3"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spans="2:27" x14ac:dyDescent="0.3"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spans="2:27" x14ac:dyDescent="0.3"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spans="2:27" x14ac:dyDescent="0.3"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spans="2:27" x14ac:dyDescent="0.3"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spans="2:27" x14ac:dyDescent="0.3"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spans="2:27" x14ac:dyDescent="0.3"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spans="2:27" x14ac:dyDescent="0.3"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spans="2:27" x14ac:dyDescent="0.3"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spans="2:27" x14ac:dyDescent="0.3"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spans="2:27" x14ac:dyDescent="0.3"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spans="2:27" x14ac:dyDescent="0.3"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spans="2:27" x14ac:dyDescent="0.3"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spans="2:27" x14ac:dyDescent="0.3"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spans="2:27" x14ac:dyDescent="0.3"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spans="2:27" x14ac:dyDescent="0.3"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spans="2:27" x14ac:dyDescent="0.3"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spans="2:27" x14ac:dyDescent="0.3"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spans="2:27" x14ac:dyDescent="0.3"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spans="2:27" x14ac:dyDescent="0.3"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spans="2:27" x14ac:dyDescent="0.3"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spans="2:27" x14ac:dyDescent="0.3"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spans="2:27" x14ac:dyDescent="0.3"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spans="2:27" x14ac:dyDescent="0.3"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spans="2:27" x14ac:dyDescent="0.3"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spans="2:27" x14ac:dyDescent="0.3"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spans="2:27" x14ac:dyDescent="0.3"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spans="2:27" x14ac:dyDescent="0.3"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spans="2:27" x14ac:dyDescent="0.3"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spans="2:27" x14ac:dyDescent="0.3"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spans="2:27" x14ac:dyDescent="0.3"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spans="2:27" x14ac:dyDescent="0.3"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spans="2:27" x14ac:dyDescent="0.3"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spans="2:27" x14ac:dyDescent="0.3"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spans="2:27" x14ac:dyDescent="0.3"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spans="2:27" x14ac:dyDescent="0.3"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spans="2:27" x14ac:dyDescent="0.3"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spans="2:27" x14ac:dyDescent="0.3"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spans="2:27" x14ac:dyDescent="0.3"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spans="2:27" x14ac:dyDescent="0.3"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spans="2:27" x14ac:dyDescent="0.3"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spans="2:27" x14ac:dyDescent="0.3"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spans="2:27" x14ac:dyDescent="0.3"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spans="2:27" x14ac:dyDescent="0.3"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spans="2:27" x14ac:dyDescent="0.3"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spans="2:27" x14ac:dyDescent="0.3"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spans="2:27" x14ac:dyDescent="0.3"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spans="2:27" x14ac:dyDescent="0.3"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spans="2:27" x14ac:dyDescent="0.3"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spans="2:27" x14ac:dyDescent="0.3"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spans="2:27" x14ac:dyDescent="0.3"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spans="2:27" x14ac:dyDescent="0.3"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spans="2:27" x14ac:dyDescent="0.3"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spans="2:27" x14ac:dyDescent="0.3"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spans="2:27" x14ac:dyDescent="0.3"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spans="2:27" x14ac:dyDescent="0.3"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spans="2:27" x14ac:dyDescent="0.3"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spans="2:27" x14ac:dyDescent="0.3"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spans="2:27" x14ac:dyDescent="0.3"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spans="2:27" x14ac:dyDescent="0.3"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spans="2:27" x14ac:dyDescent="0.3"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spans="2:27" x14ac:dyDescent="0.3"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spans="2:27" x14ac:dyDescent="0.3"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spans="2:27" x14ac:dyDescent="0.3"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spans="2:27" x14ac:dyDescent="0.3"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spans="2:27" x14ac:dyDescent="0.3"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spans="2:27" x14ac:dyDescent="0.3"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spans="2:27" x14ac:dyDescent="0.3"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spans="2:27" x14ac:dyDescent="0.3"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spans="2:27" x14ac:dyDescent="0.3"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spans="2:27" x14ac:dyDescent="0.3"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spans="2:27" x14ac:dyDescent="0.3"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spans="2:27" x14ac:dyDescent="0.3"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spans="2:27" x14ac:dyDescent="0.3"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spans="2:27" x14ac:dyDescent="0.3"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spans="2:27" x14ac:dyDescent="0.3"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spans="2:27" x14ac:dyDescent="0.3"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spans="2:27" x14ac:dyDescent="0.3"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spans="2:27" x14ac:dyDescent="0.3"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spans="2:27" x14ac:dyDescent="0.3"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spans="2:27" x14ac:dyDescent="0.3"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spans="2:27" x14ac:dyDescent="0.3"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spans="2:27" x14ac:dyDescent="0.3"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spans="2:27" x14ac:dyDescent="0.3"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spans="2:27" x14ac:dyDescent="0.3"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spans="2:27" x14ac:dyDescent="0.3"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spans="2:27" x14ac:dyDescent="0.3"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spans="2:27" x14ac:dyDescent="0.3"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spans="2:27" x14ac:dyDescent="0.3"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spans="2:27" x14ac:dyDescent="0.3"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spans="2:27" x14ac:dyDescent="0.3"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spans="2:27" x14ac:dyDescent="0.3"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spans="2:27" x14ac:dyDescent="0.3"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spans="2:27" x14ac:dyDescent="0.3"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spans="2:27" x14ac:dyDescent="0.3"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spans="2:27" x14ac:dyDescent="0.3"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spans="2:27" x14ac:dyDescent="0.3"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spans="2:27" x14ac:dyDescent="0.3"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spans="2:27" x14ac:dyDescent="0.3"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spans="2:27" x14ac:dyDescent="0.3"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spans="2:27" x14ac:dyDescent="0.3"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spans="2:27" x14ac:dyDescent="0.3"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spans="2:27" x14ac:dyDescent="0.3"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spans="2:27" x14ac:dyDescent="0.3"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spans="2:27" x14ac:dyDescent="0.3"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spans="2:27" x14ac:dyDescent="0.3"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spans="2:27" x14ac:dyDescent="0.3"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spans="2:27" x14ac:dyDescent="0.3"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spans="2:27" x14ac:dyDescent="0.3"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spans="2:27" x14ac:dyDescent="0.3"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spans="2:27" x14ac:dyDescent="0.3"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spans="2:27" x14ac:dyDescent="0.3"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spans="2:27" x14ac:dyDescent="0.3"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spans="2:27" x14ac:dyDescent="0.3"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spans="2:27" x14ac:dyDescent="0.3"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spans="2:27" x14ac:dyDescent="0.3"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spans="2:27" x14ac:dyDescent="0.3"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spans="2:27" x14ac:dyDescent="0.3"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spans="2:27" x14ac:dyDescent="0.3"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spans="2:27" x14ac:dyDescent="0.3"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spans="2:27" x14ac:dyDescent="0.3"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spans="2:27" x14ac:dyDescent="0.3"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spans="2:27" x14ac:dyDescent="0.3"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spans="2:27" x14ac:dyDescent="0.3"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spans="2:27" x14ac:dyDescent="0.3"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spans="2:27" x14ac:dyDescent="0.3"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spans="2:27" x14ac:dyDescent="0.3"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spans="2:27" x14ac:dyDescent="0.3"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spans="2:27" x14ac:dyDescent="0.3"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spans="2:27" x14ac:dyDescent="0.3"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spans="2:27" x14ac:dyDescent="0.3"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spans="2:27" x14ac:dyDescent="0.3"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spans="2:27" x14ac:dyDescent="0.3"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spans="2:27" x14ac:dyDescent="0.3"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spans="2:27" x14ac:dyDescent="0.3"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spans="2:27" x14ac:dyDescent="0.3"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spans="2:27" x14ac:dyDescent="0.3"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spans="2:27" x14ac:dyDescent="0.3"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spans="2:27" x14ac:dyDescent="0.3"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spans="2:27" x14ac:dyDescent="0.3"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spans="2:27" x14ac:dyDescent="0.3"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spans="2:27" x14ac:dyDescent="0.3"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spans="2:27" x14ac:dyDescent="0.3"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spans="2:27" x14ac:dyDescent="0.3"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spans="2:27" x14ac:dyDescent="0.3"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spans="2:27" x14ac:dyDescent="0.3"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spans="2:27" x14ac:dyDescent="0.3"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spans="2:27" x14ac:dyDescent="0.3"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spans="2:27" x14ac:dyDescent="0.3"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spans="2:27" x14ac:dyDescent="0.3"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spans="2:27" x14ac:dyDescent="0.3"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spans="2:27" x14ac:dyDescent="0.3"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spans="2:27" x14ac:dyDescent="0.3"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spans="2:27" x14ac:dyDescent="0.3"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spans="2:27" x14ac:dyDescent="0.3"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spans="2:27" x14ac:dyDescent="0.3"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spans="2:27" x14ac:dyDescent="0.3"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spans="2:27" x14ac:dyDescent="0.3"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spans="2:27" x14ac:dyDescent="0.3"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spans="2:27" x14ac:dyDescent="0.3"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spans="2:27" x14ac:dyDescent="0.3"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spans="2:27" x14ac:dyDescent="0.3"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spans="2:27" x14ac:dyDescent="0.3"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spans="2:27" x14ac:dyDescent="0.3"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spans="2:27" x14ac:dyDescent="0.3"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spans="2:27" x14ac:dyDescent="0.3"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spans="2:27" x14ac:dyDescent="0.3"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spans="2:27" x14ac:dyDescent="0.3"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 spans="2:27" x14ac:dyDescent="0.3"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</row>
    <row r="415" spans="2:27" x14ac:dyDescent="0.3"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 spans="2:27" x14ac:dyDescent="0.3"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 spans="2:27" x14ac:dyDescent="0.3"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</row>
    <row r="418" spans="2:27" x14ac:dyDescent="0.3"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</row>
    <row r="419" spans="2:27" x14ac:dyDescent="0.3"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</row>
    <row r="420" spans="2:27" x14ac:dyDescent="0.3"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</row>
    <row r="421" spans="2:27" x14ac:dyDescent="0.3"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</row>
    <row r="422" spans="2:27" x14ac:dyDescent="0.3"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</row>
    <row r="423" spans="2:27" x14ac:dyDescent="0.3"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 spans="2:27" x14ac:dyDescent="0.3"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 spans="2:27" x14ac:dyDescent="0.3"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</row>
    <row r="426" spans="2:27" x14ac:dyDescent="0.3"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 spans="2:27" x14ac:dyDescent="0.3"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</row>
    <row r="428" spans="2:27" x14ac:dyDescent="0.3"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</row>
    <row r="429" spans="2:27" x14ac:dyDescent="0.3"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</row>
    <row r="430" spans="2:27" x14ac:dyDescent="0.3"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</row>
    <row r="431" spans="2:27" x14ac:dyDescent="0.3"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</row>
    <row r="432" spans="2:27" x14ac:dyDescent="0.3"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</row>
    <row r="433" spans="2:27" x14ac:dyDescent="0.3"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</row>
    <row r="434" spans="2:27" x14ac:dyDescent="0.3"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</row>
    <row r="435" spans="2:27" x14ac:dyDescent="0.3"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</row>
    <row r="436" spans="2:27" x14ac:dyDescent="0.3"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</row>
    <row r="437" spans="2:27" x14ac:dyDescent="0.3"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</row>
    <row r="438" spans="2:27" x14ac:dyDescent="0.3"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</row>
    <row r="439" spans="2:27" x14ac:dyDescent="0.3"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</row>
    <row r="440" spans="2:27" x14ac:dyDescent="0.3"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</row>
    <row r="441" spans="2:27" x14ac:dyDescent="0.3"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</row>
    <row r="442" spans="2:27" x14ac:dyDescent="0.3"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</row>
    <row r="443" spans="2:27" x14ac:dyDescent="0.3"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</row>
    <row r="444" spans="2:27" x14ac:dyDescent="0.3"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</row>
    <row r="445" spans="2:27" x14ac:dyDescent="0.3"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</row>
    <row r="446" spans="2:27" x14ac:dyDescent="0.3"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</row>
    <row r="447" spans="2:27" x14ac:dyDescent="0.3"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</row>
    <row r="448" spans="2:27" x14ac:dyDescent="0.3"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</row>
    <row r="449" spans="2:27" x14ac:dyDescent="0.3"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</row>
    <row r="450" spans="2:27" x14ac:dyDescent="0.3"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</row>
    <row r="451" spans="2:27" x14ac:dyDescent="0.3"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</row>
    <row r="452" spans="2:27" x14ac:dyDescent="0.3"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</row>
    <row r="453" spans="2:27" x14ac:dyDescent="0.3"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</row>
    <row r="454" spans="2:27" x14ac:dyDescent="0.3"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</row>
    <row r="455" spans="2:27" x14ac:dyDescent="0.3"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</row>
    <row r="456" spans="2:27" x14ac:dyDescent="0.3"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</row>
    <row r="457" spans="2:27" x14ac:dyDescent="0.3"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</row>
    <row r="458" spans="2:27" x14ac:dyDescent="0.3"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</row>
    <row r="459" spans="2:27" x14ac:dyDescent="0.3"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</row>
    <row r="460" spans="2:27" x14ac:dyDescent="0.3"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</row>
    <row r="461" spans="2:27" x14ac:dyDescent="0.3"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</row>
    <row r="462" spans="2:27" x14ac:dyDescent="0.3"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</row>
    <row r="463" spans="2:27" x14ac:dyDescent="0.3"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</row>
    <row r="464" spans="2:27" x14ac:dyDescent="0.3"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</row>
    <row r="465" spans="2:27" x14ac:dyDescent="0.3"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</row>
    <row r="466" spans="2:27" x14ac:dyDescent="0.3"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</row>
    <row r="467" spans="2:27" x14ac:dyDescent="0.3"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</row>
    <row r="468" spans="2:27" x14ac:dyDescent="0.3"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</row>
    <row r="469" spans="2:27" x14ac:dyDescent="0.3"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</row>
    <row r="470" spans="2:27" x14ac:dyDescent="0.3"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</row>
    <row r="471" spans="2:27" x14ac:dyDescent="0.3"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</row>
    <row r="472" spans="2:27" x14ac:dyDescent="0.3"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</row>
    <row r="473" spans="2:27" x14ac:dyDescent="0.3"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</row>
    <row r="474" spans="2:27" x14ac:dyDescent="0.3"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</row>
    <row r="475" spans="2:27" x14ac:dyDescent="0.3"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</row>
    <row r="476" spans="2:27" x14ac:dyDescent="0.3"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</row>
    <row r="477" spans="2:27" x14ac:dyDescent="0.3"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</row>
    <row r="478" spans="2:27" x14ac:dyDescent="0.3"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</row>
    <row r="479" spans="2:27" x14ac:dyDescent="0.3"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</row>
    <row r="480" spans="2:27" x14ac:dyDescent="0.3"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</row>
    <row r="481" spans="2:27" x14ac:dyDescent="0.3"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</row>
    <row r="482" spans="2:27" x14ac:dyDescent="0.3"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</row>
    <row r="483" spans="2:27" x14ac:dyDescent="0.3"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</row>
    <row r="484" spans="2:27" x14ac:dyDescent="0.3"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</row>
    <row r="485" spans="2:27" x14ac:dyDescent="0.3"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</row>
    <row r="486" spans="2:27" x14ac:dyDescent="0.3"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</row>
    <row r="487" spans="2:27" x14ac:dyDescent="0.3"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</row>
    <row r="488" spans="2:27" x14ac:dyDescent="0.3"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</row>
    <row r="489" spans="2:27" x14ac:dyDescent="0.3"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</row>
    <row r="490" spans="2:27" x14ac:dyDescent="0.3"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</row>
    <row r="491" spans="2:27" x14ac:dyDescent="0.3"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</row>
    <row r="492" spans="2:27" x14ac:dyDescent="0.3"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</row>
    <row r="493" spans="2:27" x14ac:dyDescent="0.3"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</row>
    <row r="494" spans="2:27" x14ac:dyDescent="0.3"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</row>
    <row r="495" spans="2:27" x14ac:dyDescent="0.3"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</row>
    <row r="496" spans="2:27" x14ac:dyDescent="0.3"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</row>
    <row r="497" spans="2:27" x14ac:dyDescent="0.3"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</row>
    <row r="498" spans="2:27" x14ac:dyDescent="0.3"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</row>
    <row r="499" spans="2:27" x14ac:dyDescent="0.3"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</row>
    <row r="500" spans="2:27" x14ac:dyDescent="0.3"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</row>
    <row r="501" spans="2:27" x14ac:dyDescent="0.3"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</row>
    <row r="502" spans="2:27" x14ac:dyDescent="0.3"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</row>
    <row r="503" spans="2:27" x14ac:dyDescent="0.3"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</row>
    <row r="504" spans="2:27" x14ac:dyDescent="0.3"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</row>
    <row r="505" spans="2:27" x14ac:dyDescent="0.3"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</row>
    <row r="506" spans="2:27" x14ac:dyDescent="0.3"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</row>
    <row r="507" spans="2:27" x14ac:dyDescent="0.3"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</row>
    <row r="508" spans="2:27" x14ac:dyDescent="0.3"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</row>
    <row r="509" spans="2:27" x14ac:dyDescent="0.3"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</row>
    <row r="510" spans="2:27" x14ac:dyDescent="0.3"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</row>
    <row r="511" spans="2:27" x14ac:dyDescent="0.3"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</row>
    <row r="512" spans="2:27" x14ac:dyDescent="0.3"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</row>
    <row r="513" spans="2:27" x14ac:dyDescent="0.3"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</row>
    <row r="514" spans="2:27" x14ac:dyDescent="0.3"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</row>
    <row r="515" spans="2:27" x14ac:dyDescent="0.3"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</row>
    <row r="516" spans="2:27" x14ac:dyDescent="0.3"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</row>
    <row r="517" spans="2:27" x14ac:dyDescent="0.3"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</row>
    <row r="518" spans="2:27" x14ac:dyDescent="0.3"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</row>
    <row r="519" spans="2:27" x14ac:dyDescent="0.3"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</row>
    <row r="520" spans="2:27" x14ac:dyDescent="0.3"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</row>
    <row r="521" spans="2:27" x14ac:dyDescent="0.3"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</row>
    <row r="522" spans="2:27" x14ac:dyDescent="0.3"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</row>
    <row r="523" spans="2:27" x14ac:dyDescent="0.3"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</row>
    <row r="524" spans="2:27" x14ac:dyDescent="0.3"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</row>
    <row r="525" spans="2:27" x14ac:dyDescent="0.3"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</row>
    <row r="526" spans="2:27" x14ac:dyDescent="0.3"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</row>
    <row r="527" spans="2:27" x14ac:dyDescent="0.3"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</row>
    <row r="528" spans="2:27" x14ac:dyDescent="0.3"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</row>
    <row r="529" spans="2:27" x14ac:dyDescent="0.3"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</row>
    <row r="530" spans="2:27" x14ac:dyDescent="0.3"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</row>
    <row r="531" spans="2:27" x14ac:dyDescent="0.3"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</row>
    <row r="532" spans="2:27" x14ac:dyDescent="0.3"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</row>
    <row r="533" spans="2:27" x14ac:dyDescent="0.3"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</row>
    <row r="534" spans="2:27" x14ac:dyDescent="0.3"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</row>
    <row r="535" spans="2:27" x14ac:dyDescent="0.3"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</row>
    <row r="536" spans="2:27" x14ac:dyDescent="0.3"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</row>
    <row r="537" spans="2:27" x14ac:dyDescent="0.3"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</row>
    <row r="538" spans="2:27" x14ac:dyDescent="0.3"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</row>
    <row r="539" spans="2:27" x14ac:dyDescent="0.3"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</row>
    <row r="540" spans="2:27" x14ac:dyDescent="0.3"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</row>
    <row r="541" spans="2:27" x14ac:dyDescent="0.3"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</row>
    <row r="542" spans="2:27" x14ac:dyDescent="0.3"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</row>
    <row r="543" spans="2:27" x14ac:dyDescent="0.3"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</row>
    <row r="544" spans="2:27" x14ac:dyDescent="0.3"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</row>
    <row r="545" spans="2:27" x14ac:dyDescent="0.3"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</row>
    <row r="546" spans="2:27" x14ac:dyDescent="0.3"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</row>
    <row r="547" spans="2:27" x14ac:dyDescent="0.3"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</row>
    <row r="548" spans="2:27" x14ac:dyDescent="0.3"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</row>
    <row r="549" spans="2:27" x14ac:dyDescent="0.3"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</row>
    <row r="550" spans="2:27" x14ac:dyDescent="0.3"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</row>
    <row r="551" spans="2:27" x14ac:dyDescent="0.3"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</row>
    <row r="552" spans="2:27" x14ac:dyDescent="0.3"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</row>
    <row r="553" spans="2:27" x14ac:dyDescent="0.3"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</row>
    <row r="554" spans="2:27" x14ac:dyDescent="0.3"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</row>
    <row r="555" spans="2:27" x14ac:dyDescent="0.3"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</row>
    <row r="556" spans="2:27" x14ac:dyDescent="0.3"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</row>
    <row r="557" spans="2:27" x14ac:dyDescent="0.3"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</row>
    <row r="558" spans="2:27" x14ac:dyDescent="0.3"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</row>
    <row r="559" spans="2:27" x14ac:dyDescent="0.3"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</row>
    <row r="560" spans="2:27" x14ac:dyDescent="0.3"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</row>
    <row r="561" spans="2:27" x14ac:dyDescent="0.3"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</row>
    <row r="562" spans="2:27" x14ac:dyDescent="0.3"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</row>
    <row r="563" spans="2:27" x14ac:dyDescent="0.3"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</row>
    <row r="564" spans="2:27" x14ac:dyDescent="0.3"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</row>
    <row r="565" spans="2:27" x14ac:dyDescent="0.3"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</row>
    <row r="566" spans="2:27" x14ac:dyDescent="0.3"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</row>
    <row r="567" spans="2:27" x14ac:dyDescent="0.3"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</row>
    <row r="568" spans="2:27" x14ac:dyDescent="0.3"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</row>
    <row r="569" spans="2:27" x14ac:dyDescent="0.3"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</row>
    <row r="570" spans="2:27" x14ac:dyDescent="0.3"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</row>
    <row r="571" spans="2:27" x14ac:dyDescent="0.3"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</row>
    <row r="572" spans="2:27" x14ac:dyDescent="0.3"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</row>
    <row r="573" spans="2:27" x14ac:dyDescent="0.3"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</row>
    <row r="574" spans="2:27" x14ac:dyDescent="0.3"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</row>
    <row r="575" spans="2:27" x14ac:dyDescent="0.3"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</row>
    <row r="576" spans="2:27" x14ac:dyDescent="0.3"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</row>
    <row r="577" spans="2:27" x14ac:dyDescent="0.3"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</row>
    <row r="578" spans="2:27" x14ac:dyDescent="0.3"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</row>
    <row r="579" spans="2:27" x14ac:dyDescent="0.3"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</row>
    <row r="580" spans="2:27" x14ac:dyDescent="0.3"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</row>
    <row r="581" spans="2:27" x14ac:dyDescent="0.3"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</row>
    <row r="582" spans="2:27" x14ac:dyDescent="0.3"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</row>
    <row r="583" spans="2:27" x14ac:dyDescent="0.3"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</row>
    <row r="584" spans="2:27" x14ac:dyDescent="0.3"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</row>
    <row r="585" spans="2:27" x14ac:dyDescent="0.3"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</row>
    <row r="586" spans="2:27" x14ac:dyDescent="0.3"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</row>
    <row r="587" spans="2:27" x14ac:dyDescent="0.3"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</row>
    <row r="588" spans="2:27" x14ac:dyDescent="0.3"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</row>
    <row r="589" spans="2:27" x14ac:dyDescent="0.3"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</row>
    <row r="590" spans="2:27" x14ac:dyDescent="0.3"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</row>
    <row r="591" spans="2:27" x14ac:dyDescent="0.3"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</row>
    <row r="592" spans="2:27" x14ac:dyDescent="0.3"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</row>
    <row r="593" spans="2:27" x14ac:dyDescent="0.3"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</row>
    <row r="594" spans="2:27" x14ac:dyDescent="0.3"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</row>
    <row r="595" spans="2:27" x14ac:dyDescent="0.3"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</row>
    <row r="596" spans="2:27" x14ac:dyDescent="0.3"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</row>
    <row r="597" spans="2:27" x14ac:dyDescent="0.3"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</row>
    <row r="598" spans="2:27" x14ac:dyDescent="0.3"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</row>
    <row r="599" spans="2:27" x14ac:dyDescent="0.3"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</row>
    <row r="600" spans="2:27" x14ac:dyDescent="0.3"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</row>
    <row r="601" spans="2:27" x14ac:dyDescent="0.3"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</row>
    <row r="602" spans="2:27" x14ac:dyDescent="0.3"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</row>
    <row r="603" spans="2:27" x14ac:dyDescent="0.3"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</row>
    <row r="604" spans="2:27" x14ac:dyDescent="0.3"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</row>
    <row r="605" spans="2:27" x14ac:dyDescent="0.3"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</row>
    <row r="606" spans="2:27" x14ac:dyDescent="0.3"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</row>
    <row r="607" spans="2:27" x14ac:dyDescent="0.3"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</row>
    <row r="608" spans="2:27" x14ac:dyDescent="0.3"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</row>
    <row r="609" spans="2:27" x14ac:dyDescent="0.3"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</row>
    <row r="610" spans="2:27" x14ac:dyDescent="0.3"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</row>
    <row r="611" spans="2:27" x14ac:dyDescent="0.3"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</row>
    <row r="612" spans="2:27" x14ac:dyDescent="0.3"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</row>
    <row r="613" spans="2:27" x14ac:dyDescent="0.3"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</row>
    <row r="614" spans="2:27" x14ac:dyDescent="0.3"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</row>
    <row r="615" spans="2:27" x14ac:dyDescent="0.3"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</row>
    <row r="616" spans="2:27" x14ac:dyDescent="0.3"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</row>
    <row r="617" spans="2:27" x14ac:dyDescent="0.3"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</row>
    <row r="618" spans="2:27" x14ac:dyDescent="0.3"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</row>
    <row r="619" spans="2:27" x14ac:dyDescent="0.3"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</row>
    <row r="620" spans="2:27" x14ac:dyDescent="0.3"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</row>
    <row r="621" spans="2:27" x14ac:dyDescent="0.3"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</row>
    <row r="622" spans="2:27" x14ac:dyDescent="0.3"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</row>
    <row r="623" spans="2:27" x14ac:dyDescent="0.3"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</row>
    <row r="624" spans="2:27" x14ac:dyDescent="0.3"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</row>
    <row r="625" spans="2:27" x14ac:dyDescent="0.3"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</row>
    <row r="626" spans="2:27" x14ac:dyDescent="0.3"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</row>
    <row r="627" spans="2:27" x14ac:dyDescent="0.3"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</row>
    <row r="628" spans="2:27" x14ac:dyDescent="0.3"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</row>
    <row r="629" spans="2:27" x14ac:dyDescent="0.3"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</row>
    <row r="630" spans="2:27" x14ac:dyDescent="0.3"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</row>
    <row r="631" spans="2:27" x14ac:dyDescent="0.3"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</row>
    <row r="632" spans="2:27" x14ac:dyDescent="0.3"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</row>
    <row r="633" spans="2:27" x14ac:dyDescent="0.3"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</row>
    <row r="634" spans="2:27" x14ac:dyDescent="0.3"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</row>
    <row r="635" spans="2:27" x14ac:dyDescent="0.3"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</row>
    <row r="636" spans="2:27" x14ac:dyDescent="0.3"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</row>
    <row r="637" spans="2:27" x14ac:dyDescent="0.3"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</row>
    <row r="638" spans="2:27" x14ac:dyDescent="0.3"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</row>
    <row r="639" spans="2:27" x14ac:dyDescent="0.3"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</row>
    <row r="640" spans="2:27" x14ac:dyDescent="0.3"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</row>
    <row r="641" spans="2:27" x14ac:dyDescent="0.3"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</row>
    <row r="642" spans="2:27" x14ac:dyDescent="0.3"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</row>
    <row r="643" spans="2:27" x14ac:dyDescent="0.3"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</row>
    <row r="644" spans="2:27" x14ac:dyDescent="0.3"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</row>
    <row r="645" spans="2:27" x14ac:dyDescent="0.3"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</row>
    <row r="646" spans="2:27" x14ac:dyDescent="0.3"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</row>
    <row r="647" spans="2:27" x14ac:dyDescent="0.3"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</row>
    <row r="648" spans="2:27" x14ac:dyDescent="0.3"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</row>
    <row r="649" spans="2:27" x14ac:dyDescent="0.3"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</row>
    <row r="650" spans="2:27" x14ac:dyDescent="0.3"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</row>
    <row r="651" spans="2:27" x14ac:dyDescent="0.3"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</row>
    <row r="652" spans="2:27" x14ac:dyDescent="0.3"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</row>
    <row r="653" spans="2:27" x14ac:dyDescent="0.3"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</row>
    <row r="654" spans="2:27" x14ac:dyDescent="0.3"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</row>
    <row r="655" spans="2:27" x14ac:dyDescent="0.3"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</row>
    <row r="656" spans="2:27" x14ac:dyDescent="0.3"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</row>
    <row r="657" spans="2:27" x14ac:dyDescent="0.3"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</row>
    <row r="658" spans="2:27" x14ac:dyDescent="0.3"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</row>
    <row r="659" spans="2:27" x14ac:dyDescent="0.3"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</row>
    <row r="660" spans="2:27" x14ac:dyDescent="0.3"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</row>
    <row r="661" spans="2:27" x14ac:dyDescent="0.3"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</row>
    <row r="662" spans="2:27" x14ac:dyDescent="0.3"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</row>
    <row r="663" spans="2:27" x14ac:dyDescent="0.3"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</row>
    <row r="664" spans="2:27" x14ac:dyDescent="0.3"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</row>
    <row r="665" spans="2:27" x14ac:dyDescent="0.3"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</row>
    <row r="666" spans="2:27" x14ac:dyDescent="0.3"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</row>
    <row r="667" spans="2:27" x14ac:dyDescent="0.3"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</row>
    <row r="668" spans="2:27" x14ac:dyDescent="0.3"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</row>
    <row r="669" spans="2:27" x14ac:dyDescent="0.3"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</row>
    <row r="670" spans="2:27" x14ac:dyDescent="0.3"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</row>
    <row r="671" spans="2:27" x14ac:dyDescent="0.3"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</row>
    <row r="672" spans="2:27" x14ac:dyDescent="0.3"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</row>
    <row r="673" spans="2:27" x14ac:dyDescent="0.3"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</row>
    <row r="674" spans="2:27" x14ac:dyDescent="0.3"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</row>
    <row r="675" spans="2:27" x14ac:dyDescent="0.3"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</row>
    <row r="676" spans="2:27" x14ac:dyDescent="0.3"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</row>
    <row r="677" spans="2:27" x14ac:dyDescent="0.3"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</row>
    <row r="678" spans="2:27" x14ac:dyDescent="0.3"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</row>
    <row r="679" spans="2:27" x14ac:dyDescent="0.3"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</row>
    <row r="680" spans="2:27" x14ac:dyDescent="0.3"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</row>
    <row r="681" spans="2:27" x14ac:dyDescent="0.3"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</row>
    <row r="682" spans="2:27" x14ac:dyDescent="0.3"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</row>
    <row r="683" spans="2:27" x14ac:dyDescent="0.3"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</row>
    <row r="684" spans="2:27" x14ac:dyDescent="0.3"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</row>
    <row r="685" spans="2:27" x14ac:dyDescent="0.3"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</row>
    <row r="686" spans="2:27" x14ac:dyDescent="0.3"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</row>
    <row r="687" spans="2:27" x14ac:dyDescent="0.3"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</row>
    <row r="688" spans="2:27" x14ac:dyDescent="0.3"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</row>
    <row r="689" spans="2:27" x14ac:dyDescent="0.3"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</row>
    <row r="690" spans="2:27" x14ac:dyDescent="0.3"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</row>
    <row r="691" spans="2:27" x14ac:dyDescent="0.3"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</row>
    <row r="692" spans="2:27" x14ac:dyDescent="0.3"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</row>
    <row r="693" spans="2:27" x14ac:dyDescent="0.3"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</row>
    <row r="694" spans="2:27" x14ac:dyDescent="0.3"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</row>
    <row r="695" spans="2:27" x14ac:dyDescent="0.3"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</row>
    <row r="696" spans="2:27" x14ac:dyDescent="0.3"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</row>
    <row r="697" spans="2:27" x14ac:dyDescent="0.3"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</row>
    <row r="698" spans="2:27" x14ac:dyDescent="0.3"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</row>
    <row r="699" spans="2:27" x14ac:dyDescent="0.3"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</row>
    <row r="700" spans="2:27" x14ac:dyDescent="0.3"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</row>
    <row r="701" spans="2:27" x14ac:dyDescent="0.3"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</row>
    <row r="702" spans="2:27" x14ac:dyDescent="0.3"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</row>
    <row r="703" spans="2:27" x14ac:dyDescent="0.3"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</row>
    <row r="704" spans="2:27" x14ac:dyDescent="0.3"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</row>
    <row r="705" spans="2:27" x14ac:dyDescent="0.3"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</row>
    <row r="706" spans="2:27" x14ac:dyDescent="0.3"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</row>
    <row r="707" spans="2:27" x14ac:dyDescent="0.3"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</row>
    <row r="708" spans="2:27" x14ac:dyDescent="0.3"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</row>
    <row r="709" spans="2:27" x14ac:dyDescent="0.3"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</row>
    <row r="710" spans="2:27" x14ac:dyDescent="0.3"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</row>
    <row r="711" spans="2:27" x14ac:dyDescent="0.3"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</row>
    <row r="712" spans="2:27" x14ac:dyDescent="0.3"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</row>
    <row r="713" spans="2:27" x14ac:dyDescent="0.3"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</row>
    <row r="714" spans="2:27" x14ac:dyDescent="0.3"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</row>
    <row r="715" spans="2:27" x14ac:dyDescent="0.3"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</row>
    <row r="716" spans="2:27" x14ac:dyDescent="0.3"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</row>
    <row r="717" spans="2:27" x14ac:dyDescent="0.3"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</row>
    <row r="718" spans="2:27" x14ac:dyDescent="0.3"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</row>
    <row r="719" spans="2:27" x14ac:dyDescent="0.3"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</row>
    <row r="720" spans="2:27" x14ac:dyDescent="0.3"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</row>
    <row r="721" spans="2:27" x14ac:dyDescent="0.3"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</row>
    <row r="722" spans="2:27" x14ac:dyDescent="0.3"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</row>
    <row r="723" spans="2:27" x14ac:dyDescent="0.3"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</row>
    <row r="724" spans="2:27" x14ac:dyDescent="0.3"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</row>
    <row r="725" spans="2:27" x14ac:dyDescent="0.3"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</row>
    <row r="726" spans="2:27" x14ac:dyDescent="0.3"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</row>
    <row r="727" spans="2:27" x14ac:dyDescent="0.3"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</row>
    <row r="728" spans="2:27" x14ac:dyDescent="0.3"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</row>
    <row r="729" spans="2:27" x14ac:dyDescent="0.3"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</row>
    <row r="730" spans="2:27" x14ac:dyDescent="0.3"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</row>
    <row r="731" spans="2:27" x14ac:dyDescent="0.3"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</row>
    <row r="732" spans="2:27" x14ac:dyDescent="0.3"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</row>
    <row r="733" spans="2:27" x14ac:dyDescent="0.3"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</row>
    <row r="734" spans="2:27" x14ac:dyDescent="0.3"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</row>
    <row r="735" spans="2:27" x14ac:dyDescent="0.3"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</row>
    <row r="736" spans="2:27" x14ac:dyDescent="0.3"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</row>
    <row r="737" spans="2:27" x14ac:dyDescent="0.3"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</row>
    <row r="738" spans="2:27" x14ac:dyDescent="0.3"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</row>
    <row r="739" spans="2:27" x14ac:dyDescent="0.3"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</row>
    <row r="740" spans="2:27" x14ac:dyDescent="0.3"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</row>
    <row r="741" spans="2:27" x14ac:dyDescent="0.3"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</row>
    <row r="742" spans="2:27" x14ac:dyDescent="0.3"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</row>
    <row r="743" spans="2:27" x14ac:dyDescent="0.3"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</row>
    <row r="744" spans="2:27" x14ac:dyDescent="0.3"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</row>
    <row r="745" spans="2:27" x14ac:dyDescent="0.3"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</row>
    <row r="746" spans="2:27" x14ac:dyDescent="0.3"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</row>
    <row r="747" spans="2:27" x14ac:dyDescent="0.3"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</row>
    <row r="748" spans="2:27" x14ac:dyDescent="0.3"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</row>
    <row r="749" spans="2:27" x14ac:dyDescent="0.3"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</row>
    <row r="750" spans="2:27" x14ac:dyDescent="0.3"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</row>
    <row r="751" spans="2:27" x14ac:dyDescent="0.3"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</row>
    <row r="752" spans="2:27" x14ac:dyDescent="0.3"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</row>
    <row r="753" spans="2:27" x14ac:dyDescent="0.3"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</row>
    <row r="754" spans="2:27" x14ac:dyDescent="0.3"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</row>
    <row r="755" spans="2:27" x14ac:dyDescent="0.3"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</row>
    <row r="756" spans="2:27" x14ac:dyDescent="0.3"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</row>
    <row r="757" spans="2:27" x14ac:dyDescent="0.3"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</row>
    <row r="758" spans="2:27" x14ac:dyDescent="0.3"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</row>
    <row r="759" spans="2:27" x14ac:dyDescent="0.3"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</row>
    <row r="760" spans="2:27" x14ac:dyDescent="0.3"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</row>
    <row r="761" spans="2:27" x14ac:dyDescent="0.3"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</row>
    <row r="762" spans="2:27" x14ac:dyDescent="0.3"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</row>
    <row r="763" spans="2:27" x14ac:dyDescent="0.3"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</row>
    <row r="764" spans="2:27" x14ac:dyDescent="0.3"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</row>
    <row r="765" spans="2:27" x14ac:dyDescent="0.3"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</row>
    <row r="766" spans="2:27" x14ac:dyDescent="0.3"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</row>
    <row r="767" spans="2:27" x14ac:dyDescent="0.3"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</row>
    <row r="768" spans="2:27" x14ac:dyDescent="0.3"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</row>
    <row r="769" spans="2:27" x14ac:dyDescent="0.3"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</row>
    <row r="770" spans="2:27" x14ac:dyDescent="0.3"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</row>
    <row r="771" spans="2:27" x14ac:dyDescent="0.3"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</row>
    <row r="772" spans="2:27" x14ac:dyDescent="0.3"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</row>
    <row r="773" spans="2:27" x14ac:dyDescent="0.3"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</row>
    <row r="774" spans="2:27" x14ac:dyDescent="0.3"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</row>
    <row r="775" spans="2:27" x14ac:dyDescent="0.3"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</row>
    <row r="776" spans="2:27" x14ac:dyDescent="0.3"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</row>
    <row r="777" spans="2:27" x14ac:dyDescent="0.3"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</row>
    <row r="778" spans="2:27" x14ac:dyDescent="0.3"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</row>
    <row r="779" spans="2:27" x14ac:dyDescent="0.3"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</row>
    <row r="780" spans="2:27" x14ac:dyDescent="0.3"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</row>
    <row r="781" spans="2:27" x14ac:dyDescent="0.3"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</row>
    <row r="782" spans="2:27" x14ac:dyDescent="0.3"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</row>
    <row r="783" spans="2:27" x14ac:dyDescent="0.3"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</row>
    <row r="784" spans="2:27" x14ac:dyDescent="0.3"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</row>
    <row r="785" spans="2:27" x14ac:dyDescent="0.3"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</row>
    <row r="786" spans="2:27" x14ac:dyDescent="0.3"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</row>
    <row r="787" spans="2:27" x14ac:dyDescent="0.3"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</row>
    <row r="788" spans="2:27" x14ac:dyDescent="0.3"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</row>
    <row r="789" spans="2:27" x14ac:dyDescent="0.3"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</row>
    <row r="790" spans="2:27" x14ac:dyDescent="0.3"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</row>
    <row r="791" spans="2:27" x14ac:dyDescent="0.3"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</row>
    <row r="792" spans="2:27" x14ac:dyDescent="0.3"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</row>
    <row r="793" spans="2:27" x14ac:dyDescent="0.3"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</row>
    <row r="794" spans="2:27" x14ac:dyDescent="0.3"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</row>
    <row r="795" spans="2:27" x14ac:dyDescent="0.3"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</row>
    <row r="796" spans="2:27" x14ac:dyDescent="0.3"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</row>
    <row r="797" spans="2:27" x14ac:dyDescent="0.3"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</row>
    <row r="798" spans="2:27" x14ac:dyDescent="0.3"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</row>
    <row r="799" spans="2:27" x14ac:dyDescent="0.3"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</row>
    <row r="800" spans="2:27" x14ac:dyDescent="0.3"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</row>
    <row r="801" spans="2:27" x14ac:dyDescent="0.3"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</row>
    <row r="802" spans="2:27" x14ac:dyDescent="0.3"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</row>
    <row r="803" spans="2:27" x14ac:dyDescent="0.3"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</row>
    <row r="804" spans="2:27" x14ac:dyDescent="0.3"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</row>
    <row r="805" spans="2:27" x14ac:dyDescent="0.3"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</row>
    <row r="806" spans="2:27" x14ac:dyDescent="0.3"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</row>
    <row r="807" spans="2:27" x14ac:dyDescent="0.3"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</row>
    <row r="808" spans="2:27" x14ac:dyDescent="0.3"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</row>
    <row r="809" spans="2:27" x14ac:dyDescent="0.3"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</row>
    <row r="810" spans="2:27" x14ac:dyDescent="0.3"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</row>
    <row r="811" spans="2:27" x14ac:dyDescent="0.3"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</row>
    <row r="812" spans="2:27" x14ac:dyDescent="0.3"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</row>
    <row r="813" spans="2:27" x14ac:dyDescent="0.3"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</row>
    <row r="814" spans="2:27" x14ac:dyDescent="0.3"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</row>
    <row r="815" spans="2:27" x14ac:dyDescent="0.3"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</row>
    <row r="816" spans="2:27" x14ac:dyDescent="0.3"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</row>
    <row r="817" spans="2:27" x14ac:dyDescent="0.3"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</row>
    <row r="818" spans="2:27" x14ac:dyDescent="0.3"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</row>
    <row r="819" spans="2:27" x14ac:dyDescent="0.3"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</row>
    <row r="820" spans="2:27" x14ac:dyDescent="0.3"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</row>
    <row r="821" spans="2:27" x14ac:dyDescent="0.3"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</row>
    <row r="822" spans="2:27" x14ac:dyDescent="0.3"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</row>
    <row r="823" spans="2:27" x14ac:dyDescent="0.3"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</row>
    <row r="824" spans="2:27" x14ac:dyDescent="0.3"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</row>
    <row r="825" spans="2:27" x14ac:dyDescent="0.3"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</row>
    <row r="826" spans="2:27" x14ac:dyDescent="0.3"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</row>
    <row r="827" spans="2:27" x14ac:dyDescent="0.3"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</row>
    <row r="828" spans="2:27" x14ac:dyDescent="0.3"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</row>
    <row r="829" spans="2:27" x14ac:dyDescent="0.3"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</row>
    <row r="830" spans="2:27" x14ac:dyDescent="0.3"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</row>
    <row r="831" spans="2:27" x14ac:dyDescent="0.3"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</row>
    <row r="832" spans="2:27" x14ac:dyDescent="0.3"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</row>
    <row r="833" spans="2:27" x14ac:dyDescent="0.3"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</row>
    <row r="834" spans="2:27" x14ac:dyDescent="0.3"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</row>
    <row r="835" spans="2:27" x14ac:dyDescent="0.3"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</row>
    <row r="836" spans="2:27" x14ac:dyDescent="0.3"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</row>
    <row r="837" spans="2:27" x14ac:dyDescent="0.3"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</row>
    <row r="838" spans="2:27" x14ac:dyDescent="0.3"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</row>
    <row r="839" spans="2:27" x14ac:dyDescent="0.3"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</row>
    <row r="840" spans="2:27" x14ac:dyDescent="0.3"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</row>
    <row r="841" spans="2:27" x14ac:dyDescent="0.3"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</row>
    <row r="842" spans="2:27" x14ac:dyDescent="0.3"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</row>
    <row r="843" spans="2:27" x14ac:dyDescent="0.3"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</row>
    <row r="844" spans="2:27" x14ac:dyDescent="0.3"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</row>
    <row r="845" spans="2:27" x14ac:dyDescent="0.3"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</row>
    <row r="846" spans="2:27" x14ac:dyDescent="0.3"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</row>
    <row r="847" spans="2:27" x14ac:dyDescent="0.3"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</row>
    <row r="848" spans="2:27" x14ac:dyDescent="0.3"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</row>
    <row r="849" spans="2:27" x14ac:dyDescent="0.3"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</row>
    <row r="850" spans="2:27" x14ac:dyDescent="0.3"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</row>
    <row r="851" spans="2:27" x14ac:dyDescent="0.3"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</row>
    <row r="852" spans="2:27" x14ac:dyDescent="0.3"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</row>
    <row r="853" spans="2:27" x14ac:dyDescent="0.3"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</row>
    <row r="854" spans="2:27" x14ac:dyDescent="0.3"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</row>
    <row r="855" spans="2:27" x14ac:dyDescent="0.3"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</row>
    <row r="856" spans="2:27" x14ac:dyDescent="0.3"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</row>
    <row r="857" spans="2:27" x14ac:dyDescent="0.3"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</row>
    <row r="858" spans="2:27" x14ac:dyDescent="0.3"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</row>
    <row r="859" spans="2:27" x14ac:dyDescent="0.3"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</row>
    <row r="860" spans="2:27" x14ac:dyDescent="0.3"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</row>
    <row r="861" spans="2:27" x14ac:dyDescent="0.3"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</row>
    <row r="862" spans="2:27" x14ac:dyDescent="0.3"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</row>
    <row r="863" spans="2:27" x14ac:dyDescent="0.3"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</row>
    <row r="864" spans="2:27" x14ac:dyDescent="0.3"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</row>
    <row r="865" spans="2:27" x14ac:dyDescent="0.3"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</row>
    <row r="866" spans="2:27" x14ac:dyDescent="0.3"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</row>
    <row r="867" spans="2:27" x14ac:dyDescent="0.3"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</row>
    <row r="868" spans="2:27" x14ac:dyDescent="0.3"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</row>
    <row r="869" spans="2:27" x14ac:dyDescent="0.3"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</row>
    <row r="870" spans="2:27" x14ac:dyDescent="0.3"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</row>
    <row r="871" spans="2:27" x14ac:dyDescent="0.3"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</row>
    <row r="872" spans="2:27" x14ac:dyDescent="0.3"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</row>
    <row r="873" spans="2:27" x14ac:dyDescent="0.3"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</row>
    <row r="874" spans="2:27" x14ac:dyDescent="0.3"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</row>
    <row r="875" spans="2:27" x14ac:dyDescent="0.3"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</row>
    <row r="876" spans="2:27" x14ac:dyDescent="0.3"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</row>
    <row r="877" spans="2:27" x14ac:dyDescent="0.3"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</row>
    <row r="878" spans="2:27" x14ac:dyDescent="0.3"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</row>
    <row r="879" spans="2:27" x14ac:dyDescent="0.3"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</row>
    <row r="880" spans="2:27" x14ac:dyDescent="0.3"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</row>
    <row r="881" spans="2:27" x14ac:dyDescent="0.3"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</row>
    <row r="882" spans="2:27" x14ac:dyDescent="0.3"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</row>
    <row r="883" spans="2:27" x14ac:dyDescent="0.3"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</row>
    <row r="884" spans="2:27" x14ac:dyDescent="0.3"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</row>
    <row r="885" spans="2:27" x14ac:dyDescent="0.3"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</row>
    <row r="886" spans="2:27" x14ac:dyDescent="0.3"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</row>
    <row r="887" spans="2:27" x14ac:dyDescent="0.3"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</row>
    <row r="888" spans="2:27" x14ac:dyDescent="0.3"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</row>
    <row r="889" spans="2:27" x14ac:dyDescent="0.3"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</row>
    <row r="890" spans="2:27" x14ac:dyDescent="0.3"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</row>
    <row r="891" spans="2:27" x14ac:dyDescent="0.3"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</row>
    <row r="892" spans="2:27" x14ac:dyDescent="0.3"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</row>
    <row r="893" spans="2:27" x14ac:dyDescent="0.3"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</row>
    <row r="894" spans="2:27" x14ac:dyDescent="0.3"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</row>
    <row r="895" spans="2:27" x14ac:dyDescent="0.3"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</row>
    <row r="896" spans="2:27" x14ac:dyDescent="0.3"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</row>
    <row r="897" spans="2:27" x14ac:dyDescent="0.3"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</row>
    <row r="898" spans="2:27" x14ac:dyDescent="0.3"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</row>
    <row r="899" spans="2:27" x14ac:dyDescent="0.3"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</row>
    <row r="900" spans="2:27" x14ac:dyDescent="0.3"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</row>
    <row r="901" spans="2:27" x14ac:dyDescent="0.3"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</row>
    <row r="902" spans="2:27" x14ac:dyDescent="0.3"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</row>
    <row r="903" spans="2:27" x14ac:dyDescent="0.3"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</row>
    <row r="904" spans="2:27" x14ac:dyDescent="0.3"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</row>
    <row r="905" spans="2:27" x14ac:dyDescent="0.3"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</row>
    <row r="906" spans="2:27" x14ac:dyDescent="0.3"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</row>
    <row r="907" spans="2:27" x14ac:dyDescent="0.3"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</row>
    <row r="908" spans="2:27" x14ac:dyDescent="0.3"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</row>
    <row r="909" spans="2:27" x14ac:dyDescent="0.3"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</row>
    <row r="910" spans="2:27" x14ac:dyDescent="0.3"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</row>
    <row r="911" spans="2:27" x14ac:dyDescent="0.3"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</row>
    <row r="912" spans="2:27" x14ac:dyDescent="0.3"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</row>
    <row r="913" spans="2:27" x14ac:dyDescent="0.3"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</row>
    <row r="914" spans="2:27" x14ac:dyDescent="0.3"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</row>
    <row r="915" spans="2:27" x14ac:dyDescent="0.3"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</row>
    <row r="916" spans="2:27" x14ac:dyDescent="0.3"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</row>
    <row r="917" spans="2:27" x14ac:dyDescent="0.3"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</row>
    <row r="918" spans="2:27" x14ac:dyDescent="0.3"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</row>
    <row r="919" spans="2:27" x14ac:dyDescent="0.3"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</row>
    <row r="920" spans="2:27" x14ac:dyDescent="0.3"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</row>
    <row r="921" spans="2:27" x14ac:dyDescent="0.3"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</row>
    <row r="922" spans="2:27" x14ac:dyDescent="0.3"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</row>
    <row r="923" spans="2:27" x14ac:dyDescent="0.3"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</row>
    <row r="924" spans="2:27" x14ac:dyDescent="0.3"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</row>
    <row r="925" spans="2:27" x14ac:dyDescent="0.3"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</row>
    <row r="926" spans="2:27" x14ac:dyDescent="0.3"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</row>
    <row r="927" spans="2:27" x14ac:dyDescent="0.3"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</row>
    <row r="928" spans="2:27" x14ac:dyDescent="0.3"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</row>
    <row r="929" spans="2:27" x14ac:dyDescent="0.3"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</row>
    <row r="930" spans="2:27" x14ac:dyDescent="0.3"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</row>
    <row r="931" spans="2:27" x14ac:dyDescent="0.3"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</row>
    <row r="932" spans="2:27" x14ac:dyDescent="0.3"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</row>
    <row r="933" spans="2:27" x14ac:dyDescent="0.3"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</row>
    <row r="934" spans="2:27" x14ac:dyDescent="0.3"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</row>
    <row r="935" spans="2:27" x14ac:dyDescent="0.3"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</row>
    <row r="936" spans="2:27" x14ac:dyDescent="0.3"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</row>
    <row r="937" spans="2:27" x14ac:dyDescent="0.3"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</row>
    <row r="938" spans="2:27" x14ac:dyDescent="0.3"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</row>
    <row r="939" spans="2:27" x14ac:dyDescent="0.3"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</row>
    <row r="940" spans="2:27" x14ac:dyDescent="0.3"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</row>
    <row r="941" spans="2:27" x14ac:dyDescent="0.3"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</row>
    <row r="942" spans="2:27" x14ac:dyDescent="0.3"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</row>
    <row r="943" spans="2:27" x14ac:dyDescent="0.3"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</row>
    <row r="944" spans="2:27" x14ac:dyDescent="0.3"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</row>
    <row r="945" spans="2:27" x14ac:dyDescent="0.3"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</row>
    <row r="946" spans="2:27" x14ac:dyDescent="0.3"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</row>
    <row r="947" spans="2:27" x14ac:dyDescent="0.3"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</row>
    <row r="948" spans="2:27" x14ac:dyDescent="0.3"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</row>
    <row r="949" spans="2:27" x14ac:dyDescent="0.3"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</row>
    <row r="950" spans="2:27" x14ac:dyDescent="0.3"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</row>
    <row r="951" spans="2:27" x14ac:dyDescent="0.3"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</row>
    <row r="952" spans="2:27" x14ac:dyDescent="0.3"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</row>
    <row r="953" spans="2:27" x14ac:dyDescent="0.3"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</row>
    <row r="954" spans="2:27" x14ac:dyDescent="0.3"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</row>
    <row r="955" spans="2:27" x14ac:dyDescent="0.3"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</row>
    <row r="956" spans="2:27" x14ac:dyDescent="0.3"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</row>
    <row r="957" spans="2:27" x14ac:dyDescent="0.3"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</row>
    <row r="958" spans="2:27" x14ac:dyDescent="0.3"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</row>
    <row r="959" spans="2:27" x14ac:dyDescent="0.3"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</row>
    <row r="960" spans="2:27" x14ac:dyDescent="0.3"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</row>
    <row r="961" spans="2:27" x14ac:dyDescent="0.3"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</row>
    <row r="962" spans="2:27" x14ac:dyDescent="0.3"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</row>
    <row r="963" spans="2:27" x14ac:dyDescent="0.3"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</row>
    <row r="964" spans="2:27" x14ac:dyDescent="0.3"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</row>
    <row r="965" spans="2:27" x14ac:dyDescent="0.3"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</row>
    <row r="966" spans="2:27" x14ac:dyDescent="0.3"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</row>
    <row r="967" spans="2:27" x14ac:dyDescent="0.3"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</row>
    <row r="968" spans="2:27" x14ac:dyDescent="0.3"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</row>
    <row r="969" spans="2:27" x14ac:dyDescent="0.3"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</row>
    <row r="970" spans="2:27" x14ac:dyDescent="0.3"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</row>
    <row r="971" spans="2:27" x14ac:dyDescent="0.3"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</row>
    <row r="972" spans="2:27" x14ac:dyDescent="0.3"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</row>
    <row r="973" spans="2:27" x14ac:dyDescent="0.3"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</row>
    <row r="974" spans="2:27" x14ac:dyDescent="0.3"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</row>
    <row r="975" spans="2:27" x14ac:dyDescent="0.3"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</row>
    <row r="976" spans="2:27" x14ac:dyDescent="0.3"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</row>
    <row r="977" spans="2:27" x14ac:dyDescent="0.3"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</row>
    <row r="978" spans="2:27" x14ac:dyDescent="0.3"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</row>
    <row r="979" spans="2:27" x14ac:dyDescent="0.3"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</row>
    <row r="980" spans="2:27" x14ac:dyDescent="0.3"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</row>
    <row r="981" spans="2:27" x14ac:dyDescent="0.3"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</row>
    <row r="982" spans="2:27" x14ac:dyDescent="0.3"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</row>
    <row r="983" spans="2:27" x14ac:dyDescent="0.3"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</row>
    <row r="984" spans="2:27" x14ac:dyDescent="0.3"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</row>
    <row r="985" spans="2:27" x14ac:dyDescent="0.3"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</row>
    <row r="986" spans="2:27" x14ac:dyDescent="0.3"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</row>
    <row r="987" spans="2:27" x14ac:dyDescent="0.3"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</row>
    <row r="988" spans="2:27" x14ac:dyDescent="0.3"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</row>
    <row r="989" spans="2:27" x14ac:dyDescent="0.3"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</row>
    <row r="990" spans="2:27" x14ac:dyDescent="0.3"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</row>
    <row r="991" spans="2:27" x14ac:dyDescent="0.3"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</row>
    <row r="992" spans="2:27" x14ac:dyDescent="0.3"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</row>
    <row r="993" spans="2:27" x14ac:dyDescent="0.3"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</row>
    <row r="994" spans="2:27" x14ac:dyDescent="0.3"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</row>
    <row r="995" spans="2:27" x14ac:dyDescent="0.3"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</row>
    <row r="996" spans="2:27" x14ac:dyDescent="0.3"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</row>
    <row r="997" spans="2:27" x14ac:dyDescent="0.3"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</row>
    <row r="998" spans="2:27" x14ac:dyDescent="0.3"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</row>
    <row r="999" spans="2:27" x14ac:dyDescent="0.3"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</row>
    <row r="1000" spans="2:27" x14ac:dyDescent="0.3"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</row>
    <row r="1001" spans="2:27" x14ac:dyDescent="0.3"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</row>
    <row r="1002" spans="2:27" x14ac:dyDescent="0.3"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</row>
    <row r="1003" spans="2:27" x14ac:dyDescent="0.3"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</row>
    <row r="1004" spans="2:27" x14ac:dyDescent="0.3"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</row>
  </sheetData>
  <mergeCells count="6">
    <mergeCell ref="B4:H4"/>
    <mergeCell ref="B8:B10"/>
    <mergeCell ref="B11:B14"/>
    <mergeCell ref="B15:C15"/>
    <mergeCell ref="B36:B38"/>
    <mergeCell ref="C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TestReportSprint1</vt:lpstr>
      <vt:lpstr>TestReportSprint2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2021-03-25T14:33:44Z</dcterms:created>
  <dcterms:modified xsi:type="dcterms:W3CDTF">2026-05-12T09:09:15Z</dcterms:modified>
</cp:coreProperties>
</file>